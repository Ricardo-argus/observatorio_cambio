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FA4E9E34-29D8-4904-AF5B-E4666B810ED4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  <sheet name="Graphs" sheetId="4" r:id="rId4"/>
  </sheets>
  <calcPr calcId="19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/>
  <c r="B24" i="1" s="1"/>
  <c r="C30" i="1"/>
  <c r="B30" i="1" s="1"/>
</calcChain>
</file>

<file path=xl/sharedStrings.xml><?xml version="1.0" encoding="utf-8"?>
<sst xmlns="http://schemas.openxmlformats.org/spreadsheetml/2006/main" count="227" uniqueCount="33">
  <si>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</si>
  <si>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</si>
  <si>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</si>
  <si>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</si>
  <si>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</si>
  <si>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</si>
  <si>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</si>
  <si>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</si>
  <si>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</si>
  <si>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</si>
  <si>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</si>
  <si>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</si>
  <si>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</si>
  <si>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</si>
  <si>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https://olinda.bcb.gov.br/olinda/servico/PTAX/versao/v1/odata/CotacaoMoedaPeriodo(moeda=@moeda,dataInicial=@dataInicial,dataFinalCotacao=@dataFinalCotacao)?@moeda='EUR'&amp;@dataInicial='01-01-2026'&amp;@dataFinalCotacao='05-15-2026'&amp;$top=1000&amp;$filter=tipoBoletim eq 'Fechamento'&amp;$orderby=dataHoraCotacao&amp;$format=json&amp;$select=cotacaoCompra,cotacaoVenda,dataHoraCotacao,tipoBoletim</t>
  </si>
  <si>
    <t>Fechamento</t>
  </si>
  <si>
    <t>https://olinda.bcb.gov.br/olinda/servico/PTAX/versao/v1/odata/CotacaoMoedaPeriodo(moeda=@moeda,dataInicial=@dataInicial,dataFinalCotacao=@dataFinalCotacao)?@moeda='USD'&amp;@dataInicial='01-01-2026'&amp;@dataFinalCotacao='05-15-2026'&amp;$top=1000&amp;$filter=tipoBoletim eq 'Fechamento'&amp;$orderby=dataHoraCotacao&amp;$format=json&amp;$select=cotacaoCompra,cotacaoVenda,dataHoraCotacao,tipoBoletim</t>
  </si>
  <si>
    <t>(All)</t>
  </si>
  <si>
    <t>Sum of cotacao_compra</t>
  </si>
  <si>
    <t>Grand Total</t>
  </si>
  <si>
    <t>Row Labels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</si>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</sst>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3">
    <cellStyle name="Check Cell" xfId="1" builtinId="23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247649</xdr:colOff>
          <xdr:row>13</xdr:row>
          <xdr:rowOff>0</xdr:rowOff>
        </xdr:from>
        <xdr:to>
          <xdr:col>7</xdr:col>
          <xdr:colOff>333374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19</xdr:row>
          <xdr:rowOff>161924</xdr:rowOff>
        </xdr:from>
        <xdr:to>
          <xdr:col>12</xdr:col>
          <xdr:colOff>323850</xdr:colOff>
          <xdr:row>24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36314864-B15E-76AC-9845-E259F5B62E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19</xdr:row>
          <xdr:rowOff>152400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DE278688-775A-1A46-2A7A-E37144C1E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57.785462500004" createdVersion="8" refreshedVersion="8" minRefreshableVersion="3" recordCount="1090" xr:uid="{074A4B57-225D-43B6-82B0-46C246B4FD52}">
  <cacheSource type="worksheet">
    <worksheetSource ref="A1:I1091" sheet="Euro"/>
  </cacheSource>
  <cacheFields count="12">
    <cacheField name="id" numFmtId="0">
      <sharedItems containsSemiMixedTypes="0" containsString="0" containsNumber="1" containsInteger="1" minValue="1" maxValue="17090"/>
    </cacheField>
    <cacheField name="cotacao_compra" numFmtId="0">
      <sharedItems containsSemiMixedTypes="0" containsString="0" containsNumber="1" minValue="4.9814999999999996" maxValue="6.6928000000000001" count="1036">
        <n v="6.3566000000000003"/>
        <n v="6.4207000000000001"/>
        <n v="6.4180999999999999"/>
        <n v="6.4416000000000002"/>
        <n v="6.4385000000000003"/>
        <n v="6.4196"/>
        <n v="6.3883999999999999"/>
        <n v="6.3494999999999999"/>
        <n v="6.3304999999999998"/>
        <n v="6.3273999999999999"/>
        <n v="6.2770000000000001"/>
        <n v="6.2610000000000001"/>
        <n v="6.2355"/>
        <n v="6.1449999999999996"/>
        <n v="6.1717000000000004"/>
        <n v="6.2080000000000002"/>
        <n v="6.1957000000000004"/>
        <n v="6.1271000000000004"/>
        <n v="5.9983000000000004"/>
        <n v="6.0217000000000001"/>
        <n v="6.0060000000000002"/>
        <n v="5.9378000000000002"/>
        <n v="5.9812000000000003"/>
        <n v="6.0521000000000003"/>
        <n v="6.0955000000000004"/>
        <n v="6.0541"/>
        <n v="6.016"/>
        <n v="6.0259"/>
        <n v="5.9732000000000003"/>
        <n v="5.9257999999999997"/>
        <n v="5.8898999999999999"/>
        <n v="5.8903999999999996"/>
        <n v="5.8659999999999997"/>
        <n v="5.8612000000000002"/>
        <n v="5.8216999999999999"/>
        <n v="5.7793000000000001"/>
        <n v="5.7351000000000001"/>
        <n v="5.6769999999999996"/>
        <n v="5.6852999999999998"/>
        <n v="5.7775999999999996"/>
        <n v="5.7060000000000004"/>
        <n v="5.5827999999999998"/>
        <n v="5.5406000000000004"/>
        <n v="5.4997999999999996"/>
        <n v="5.5345000000000004"/>
        <n v="5.5312000000000001"/>
        <n v="5.5648999999999997"/>
        <n v="5.5087999999999999"/>
        <n v="5.5589000000000004"/>
        <n v="5.6289999999999996"/>
        <n v="5.6357999999999997"/>
        <n v="5.6382000000000003"/>
        <n v="5.5677000000000003"/>
        <n v="5.484"/>
        <n v="5.4221000000000004"/>
        <n v="5.3563000000000001"/>
        <n v="5.2885999999999997"/>
        <n v="5.2468000000000004"/>
        <n v="5.2573999999999996"/>
        <n v="5.2731000000000003"/>
        <n v="5.3"/>
        <n v="5.2549999999999999"/>
        <n v="5.1878000000000002"/>
        <n v="5.0754000000000001"/>
        <n v="5.0658000000000003"/>
        <n v="5.1238999999999999"/>
        <n v="5.1664000000000003"/>
        <n v="5.165"/>
        <n v="5.1128"/>
        <n v="5.0431999999999997"/>
        <n v="5.0881999999999996"/>
        <n v="5.0895999999999999"/>
        <n v="5.0395000000000003"/>
        <n v="5.0335000000000001"/>
        <n v="5.0353000000000003"/>
        <n v="5.1044"/>
        <n v="5.2233999999999998"/>
        <n v="5.2927999999999997"/>
        <n v="5.2889999999999997"/>
        <n v="5.2609000000000004"/>
        <n v="5.1840999999999999"/>
        <n v="5.2878999999999996"/>
        <n v="5.282"/>
        <n v="5.2782"/>
        <n v="5.2572000000000001"/>
        <n v="5.3631000000000002"/>
        <n v="5.4183000000000003"/>
        <n v="5.4107000000000003"/>
        <n v="5.3978999999999999"/>
        <n v="5.3406000000000002"/>
        <n v="5.3163"/>
        <n v="5.2782999999999998"/>
        <n v="5.2306999999999997"/>
        <n v="5.2011000000000003"/>
        <n v="5.2069999999999999"/>
        <n v="5.1492000000000004"/>
        <n v="5.1166"/>
        <n v="5.1520000000000001"/>
        <n v="5.1433"/>
        <n v="5.0781000000000001"/>
        <n v="5.0888"/>
        <n v="5.0730000000000004"/>
        <n v="5.0824999999999996"/>
        <n v="5.1368"/>
        <n v="5.1349999999999998"/>
        <n v="5.1157000000000004"/>
        <n v="5.2312000000000003"/>
        <n v="5.2309000000000001"/>
        <n v="5.2156000000000002"/>
        <n v="5.2420999999999998"/>
        <n v="5.3235999999999999"/>
        <n v="5.3322000000000003"/>
        <n v="5.3075999999999999"/>
        <n v="5.3723999999999998"/>
        <n v="5.4402999999999997"/>
        <n v="5.4271000000000003"/>
        <n v="5.4489999999999998"/>
        <n v="5.4424000000000001"/>
        <n v="5.5137999999999998"/>
        <n v="5.5330000000000004"/>
        <n v="5.4958999999999998"/>
        <n v="5.4744000000000002"/>
        <n v="5.4829999999999997"/>
        <n v="5.5304000000000002"/>
        <n v="5.5286"/>
        <n v="5.5262000000000002"/>
        <n v="5.5232999999999999"/>
        <n v="5.4470999999999998"/>
        <n v="5.4020000000000001"/>
        <n v="5.3920000000000003"/>
        <n v="5.4477000000000002"/>
        <n v="5.4408000000000003"/>
        <n v="5.4698000000000002"/>
        <n v="5.4493999999999998"/>
        <n v="5.4516999999999998"/>
        <n v="5.5175000000000001"/>
        <n v="5.5438000000000001"/>
        <n v="5.5736999999999997"/>
        <n v="5.5263999999999998"/>
        <n v="5.4218000000000002"/>
        <n v="5.3615000000000004"/>
        <n v="5.2988"/>
        <n v="5.2910000000000004"/>
        <n v="5.2977999999999996"/>
        <n v="5.3338000000000001"/>
        <n v="5.3596000000000004"/>
        <n v="5.3555999999999999"/>
        <n v="5.3029999999999999"/>
        <n v="5.2297000000000002"/>
        <n v="5.2365000000000004"/>
        <n v="5.2167000000000003"/>
        <n v="5.2839"/>
        <n v="5.2317999999999998"/>
        <n v="5.1856"/>
        <n v="5.2222"/>
        <n v="5.2613000000000003"/>
        <n v="5.2342000000000004"/>
        <n v="5.2146999999999997"/>
        <n v="5.1361999999999997"/>
        <n v="5.0880999999999998"/>
        <n v="5.0876000000000001"/>
        <n v="5.0941999999999998"/>
        <n v="5.0876999999999999"/>
        <n v="5.0412999999999997"/>
        <n v="5.0692000000000004"/>
        <n v="5.21"/>
        <n v="5.1725000000000003"/>
        <n v="5.2016999999999998"/>
        <n v="5.1313000000000004"/>
        <n v="5.1757"/>
        <n v="5.1898999999999997"/>
        <n v="5.1844000000000001"/>
        <n v="5.1817000000000002"/>
        <n v="5.1761999999999997"/>
        <n v="5.1731999999999996"/>
        <n v="5.2148000000000003"/>
        <n v="5.2929000000000004"/>
        <n v="5.2366000000000001"/>
        <n v="5.1662999999999997"/>
        <n v="5.1055000000000001"/>
        <n v="5.0834000000000001"/>
        <n v="5.0772000000000004"/>
        <n v="5.1506999999999996"/>
        <n v="5.1436999999999999"/>
        <n v="5.1862000000000004"/>
        <n v="5.2675000000000001"/>
        <n v="5.2887000000000004"/>
        <n v="5.0987"/>
        <n v="5.1276000000000002"/>
        <n v="5.1429"/>
        <n v="5.0978000000000003"/>
        <n v="5.1077000000000004"/>
        <n v="5.0381999999999998"/>
        <n v="5.0774999999999997"/>
        <n v="5.1833999999999998"/>
        <n v="5.1424000000000003"/>
        <n v="5.1874000000000002"/>
        <n v="5.1858000000000004"/>
        <n v="5.1624999999999996"/>
        <n v="5.1235999999999997"/>
        <n v="5.1159999999999997"/>
        <n v="5.2058"/>
        <n v="5.2850999999999999"/>
        <n v="5.3604000000000003"/>
        <n v="5.2907000000000002"/>
        <n v="5.3086000000000002"/>
        <n v="5.1948999999999996"/>
        <n v="5.0095000000000001"/>
        <n v="4.9814999999999996"/>
        <n v="5.0875000000000004"/>
        <n v="5.2073999999999998"/>
        <n v="5.4008000000000003"/>
        <n v="5.4774000000000003"/>
        <n v="5.4745999999999997"/>
        <n v="5.5336999999999996"/>
        <n v="5.6447000000000003"/>
        <n v="5.5400999999999998"/>
        <n v="5.452"/>
        <n v="5.4842000000000004"/>
        <n v="5.5945999999999998"/>
        <n v="5.5311000000000003"/>
        <n v="5.5669000000000004"/>
        <n v="5.5926999999999998"/>
        <n v="5.4954000000000001"/>
        <n v="5.4507000000000003"/>
        <n v="5.4471999999999996"/>
        <n v="5.4420999999999999"/>
        <n v="5.5201000000000002"/>
        <n v="5.5004"/>
        <n v="5.4823000000000004"/>
        <n v="5.4912999999999998"/>
        <n v="5.5209000000000001"/>
        <n v="5.5834999999999999"/>
        <n v="5.6012000000000004"/>
        <n v="5.6844000000000001"/>
        <n v="5.6623000000000001"/>
        <n v="5.6054000000000004"/>
        <n v="5.6226000000000003"/>
        <n v="5.5765000000000002"/>
        <n v="5.5218999999999996"/>
        <n v="5.4977"/>
        <n v="5.4581999999999997"/>
        <n v="5.5118"/>
        <n v="5.6243999999999996"/>
        <n v="5.5994000000000002"/>
        <n v="5.5640000000000001"/>
        <n v="5.5666000000000002"/>
        <n v="5.6951000000000001"/>
        <n v="5.6726000000000001"/>
        <n v="5.7736999999999998"/>
        <n v="5.6813000000000002"/>
        <n v="5.6031000000000004"/>
        <n v="5.6885000000000003"/>
        <n v="5.6197999999999997"/>
        <n v="5.5930999999999997"/>
        <n v="5.5536000000000003"/>
        <n v="5.5364000000000004"/>
        <n v="5.5324999999999998"/>
        <n v="5.5288000000000004"/>
        <n v="5.6252000000000004"/>
        <n v="5.6294000000000004"/>
        <n v="5.6391"/>
        <n v="5.6208"/>
        <n v="5.5629"/>
        <n v="5.5290999999999997"/>
        <n v="5.5004999999999997"/>
        <n v="5.5381"/>
        <n v="5.5366999999999997"/>
        <n v="5.5366"/>
        <n v="5.4569999999999999"/>
        <n v="5.5392000000000001"/>
        <n v="5.5529999999999999"/>
        <n v="5.5260999999999996"/>
        <n v="5.5787000000000004"/>
        <n v="5.6070000000000002"/>
        <n v="5.5553999999999997"/>
        <n v="5.5178000000000003"/>
        <n v="5.5758000000000001"/>
        <n v="5.5944000000000003"/>
        <n v="5.4951999999999996"/>
        <n v="5.4378000000000002"/>
        <n v="5.4581"/>
        <n v="5.5065999999999997"/>
        <n v="5.5217000000000001"/>
        <n v="5.5552000000000001"/>
        <n v="5.5235000000000003"/>
        <n v="5.5132000000000003"/>
        <n v="5.5481999999999996"/>
        <n v="5.492"/>
        <n v="5.4217000000000004"/>
        <n v="5.4257999999999997"/>
        <n v="5.5365000000000002"/>
        <n v="5.6219000000000001"/>
        <n v="5.6120000000000001"/>
        <n v="5.5792999999999999"/>
        <n v="5.6154000000000002"/>
        <n v="5.6064999999999996"/>
        <n v="5.6242999999999999"/>
        <n v="5.6455000000000002"/>
        <n v="5.6795"/>
        <n v="5.7289000000000003"/>
        <n v="5.6942000000000004"/>
        <n v="5.6416000000000004"/>
        <n v="5.6082000000000001"/>
        <n v="5.5735000000000001"/>
        <n v="5.5839999999999996"/>
        <n v="5.5568"/>
        <n v="5.5369999999999999"/>
        <n v="5.5091999999999999"/>
        <n v="5.4648000000000003"/>
        <n v="5.4359999999999999"/>
        <n v="5.4260000000000002"/>
        <n v="5.4284999999999997"/>
        <n v="5.3926999999999996"/>
        <n v="5.5259999999999998"/>
        <n v="5.5373000000000001"/>
        <n v="5.5773999999999999"/>
        <n v="5.5495999999999999"/>
        <n v="5.5884999999999998"/>
        <n v="5.5224000000000002"/>
        <n v="5.5195999999999996"/>
        <n v="5.5473999999999997"/>
        <n v="5.5149999999999997"/>
        <n v="5.4772999999999996"/>
        <n v="5.4748000000000001"/>
        <n v="5.4756"/>
        <n v="5.4311999999999996"/>
        <n v="5.4231999999999996"/>
        <n v="5.3426999999999998"/>
        <n v="5.3372999999999999"/>
        <n v="5.3360000000000003"/>
        <n v="5.3601000000000001"/>
        <n v="5.3483000000000001"/>
        <n v="5.3925000000000001"/>
        <n v="5.3662999999999998"/>
        <n v="5.3487"/>
        <n v="5.3208000000000002"/>
        <n v="5.3593000000000002"/>
        <n v="5.3670999999999998"/>
        <n v="5.3498999999999999"/>
        <n v="5.4229000000000003"/>
        <n v="5.4275000000000002"/>
        <n v="5.4115000000000002"/>
        <n v="5.3135000000000003"/>
        <n v="5.2774999999999999"/>
        <n v="5.2706"/>
        <n v="5.2545999999999999"/>
        <n v="5.2565"/>
        <n v="5.2458999999999998"/>
        <n v="5.2355999999999998"/>
        <n v="5.2603999999999997"/>
        <n v="5.2705000000000002"/>
        <n v="5.2736000000000001"/>
        <n v="5.2194000000000003"/>
        <n v="5.2228000000000003"/>
        <n v="5.2324000000000002"/>
        <n v="5.2279999999999998"/>
        <n v="5.2027000000000001"/>
        <n v="5.2022000000000004"/>
        <n v="5.2485999999999997"/>
        <n v="5.2946999999999997"/>
        <n v="5.2843"/>
        <n v="5.2614000000000001"/>
        <n v="5.2255000000000003"/>
        <n v="5.2378999999999998"/>
        <n v="5.2771999999999997"/>
        <n v="5.3482000000000003"/>
        <n v="5.3543000000000003"/>
        <n v="5.3788"/>
        <n v="5.3438999999999997"/>
        <n v="5.3753000000000002"/>
        <n v="5.3868"/>
        <n v="5.4256000000000002"/>
        <n v="5.3903999999999996"/>
        <n v="5.3715000000000002"/>
        <n v="5.3316999999999997"/>
        <n v="5.3056999999999999"/>
        <n v="5.258"/>
        <n v="5.2472000000000003"/>
        <n v="5.2462999999999997"/>
        <n v="5.1897000000000002"/>
        <n v="5.2141999999999999"/>
        <n v="5.2225999999999999"/>
        <n v="5.2373000000000003"/>
        <n v="5.2576999999999998"/>
        <n v="5.3402000000000003"/>
        <n v="5.3624000000000001"/>
        <n v="5.3890000000000002"/>
        <n v="5.3875999999999999"/>
        <n v="5.3773"/>
        <n v="5.3430999999999997"/>
        <n v="5.3582999999999998"/>
        <n v="5.4027000000000003"/>
        <n v="5.4413"/>
        <n v="5.4244000000000003"/>
        <n v="5.4153000000000002"/>
        <n v="5.4053000000000004"/>
        <n v="5.4257"/>
        <n v="5.3186999999999998"/>
        <n v="5.2758000000000003"/>
        <n v="5.2594000000000003"/>
        <n v="5.2892000000000001"/>
        <n v="5.2824999999999998"/>
        <n v="5.3136999999999999"/>
        <n v="5.3337000000000003"/>
        <n v="5.3173000000000004"/>
        <n v="5.3089000000000004"/>
        <n v="5.3301999999999996"/>
        <n v="5.3293999999999997"/>
        <n v="5.3357000000000001"/>
        <n v="5.3026999999999997"/>
        <n v="5.3087999999999997"/>
        <n v="5.2778999999999998"/>
        <n v="5.1947999999999999"/>
        <n v="5.1954000000000002"/>
        <n v="5.1886999999999999"/>
        <n v="5.1877000000000004"/>
        <n v="5.1932999999999998"/>
        <n v="5.2477"/>
        <n v="5.2362000000000002"/>
        <n v="5.2511999999999999"/>
        <n v="5.2549000000000001"/>
        <n v="5.2831999999999999"/>
        <n v="5.3376000000000001"/>
        <n v="5.2984"/>
        <n v="5.3190999999999997"/>
        <n v="5.3403"/>
        <n v="5.4173"/>
        <n v="5.4416000000000002"/>
        <n v="5.4989999999999997"/>
        <n v="5.4439000000000002"/>
        <n v="5.3989000000000003"/>
        <n v="5.3574999999999999"/>
        <n v="5.3144999999999998"/>
        <n v="5.335"/>
        <n v="5.3236999999999997"/>
        <n v="5.3399000000000001"/>
        <n v="5.3498000000000001"/>
        <n v="5.3383000000000003"/>
        <n v="5.2702"/>
        <n v="5.2388000000000003"/>
        <n v="5.3156999999999996"/>
        <n v="5.2873000000000001"/>
        <n v="5.2473999999999998"/>
        <n v="5.2628000000000004"/>
        <n v="5.1988000000000003"/>
        <n v="5.2287999999999997"/>
        <n v="5.2504999999999997"/>
        <n v="5.2744999999999997"/>
        <n v="5.2828999999999997"/>
        <n v="5.3166000000000002"/>
        <n v="5.3287000000000004"/>
        <n v="5.3357999999999999"/>
        <n v="5.3192000000000004"/>
        <n v="5.3367000000000004"/>
        <n v="5.351"/>
        <n v="5.3502000000000001"/>
        <n v="5.3643999999999998"/>
        <n v="5.3688000000000002"/>
        <n v="5.383"/>
        <n v="5.3296999999999999"/>
        <n v="5.3497000000000003"/>
        <n v="5.2892999999999999"/>
        <n v="5.2770000000000001"/>
        <n v="5.2931999999999997"/>
        <n v="5.3102"/>
        <n v="5.3343999999999996"/>
        <n v="5.3905000000000003"/>
        <n v="5.3907999999999996"/>
        <n v="5.3440000000000003"/>
        <n v="5.3503999999999996"/>
        <n v="5.3570000000000002"/>
        <n v="5.3522999999999996"/>
        <n v="5.3308999999999997"/>
        <n v="5.3642000000000003"/>
        <n v="5.3756000000000004"/>
        <n v="5.3490000000000002"/>
        <n v="5.3517000000000001"/>
        <n v="5.3648999999999996"/>
        <n v="5.3874000000000004"/>
        <n v="5.3665000000000003"/>
        <n v="5.3577000000000004"/>
        <n v="5.3422999999999998"/>
        <n v="5.3617999999999997"/>
        <n v="5.3398000000000003"/>
        <n v="5.3216000000000001"/>
        <n v="5.3380999999999998"/>
        <n v="5.3346999999999998"/>
        <n v="5.3518999999999997"/>
        <n v="5.3558000000000003"/>
        <n v="5.3863000000000003"/>
        <n v="5.3834999999999997"/>
        <n v="5.3608000000000002"/>
        <n v="5.3362999999999996"/>
        <n v="5.3776000000000002"/>
        <n v="5.3792999999999997"/>
        <n v="5.3414999999999999"/>
        <n v="5.3674999999999997"/>
        <n v="5.3361999999999998"/>
        <n v="5.3352000000000004"/>
        <n v="5.3578000000000001"/>
        <n v="5.3331"/>
        <n v="5.3486000000000002"/>
        <n v="5.3581000000000003"/>
        <n v="5.3372000000000002"/>
        <n v="5.3463000000000003"/>
        <n v="5.3255999999999997"/>
        <n v="5.3952"/>
        <n v="5.4051999999999998"/>
        <n v="5.3766999999999996"/>
        <n v="5.3673999999999999"/>
        <n v="5.3913000000000002"/>
        <n v="5.3720999999999997"/>
        <n v="5.3727999999999998"/>
        <n v="5.3787000000000003"/>
        <n v="5.3861999999999997"/>
        <n v="5.3937999999999997"/>
        <n v="5.4520999999999997"/>
        <n v="5.4375"/>
        <n v="5.4368999999999996"/>
        <n v="5.4493"/>
        <n v="5.4176000000000002"/>
        <n v="5.4349999999999996"/>
        <n v="5.4542999999999999"/>
        <n v="5.4661"/>
        <n v="5.4394"/>
        <n v="5.4078999999999997"/>
        <n v="5.4032"/>
        <n v="5.3982999999999999"/>
        <n v="5.3928000000000003"/>
        <n v="5.4225000000000003"/>
        <n v="5.4340000000000002"/>
        <n v="5.4901999999999997"/>
        <n v="5.4565999999999999"/>
        <n v="5.4747000000000003"/>
        <n v="5.47"/>
        <n v="5.4371"/>
        <n v="5.4413999999999998"/>
        <n v="5.4671000000000003"/>
        <n v="5.5067000000000004"/>
        <n v="5.5922999999999998"/>
        <n v="5.5835999999999997"/>
        <n v="5.5965999999999996"/>
        <n v="5.5681000000000003"/>
        <n v="5.5399000000000003"/>
        <n v="5.5197000000000003"/>
        <n v="5.5114000000000001"/>
        <n v="5.5382999999999996"/>
        <n v="5.4683999999999999"/>
        <n v="5.4801000000000002"/>
        <n v="5.5244"/>
        <n v="5.4775999999999998"/>
        <n v="5.4558"/>
        <n v="5.4661999999999997"/>
        <n v="5.4474999999999998"/>
        <n v="5.4711999999999996"/>
        <n v="5.5541999999999998"/>
        <n v="5.5419999999999998"/>
        <n v="5.5534999999999997"/>
        <n v="5.5829000000000004"/>
        <n v="5.5750000000000002"/>
        <n v="5.5586000000000002"/>
        <n v="5.5472000000000001"/>
        <n v="5.5378999999999996"/>
        <n v="5.5791000000000004"/>
        <n v="5.5674999999999999"/>
        <n v="5.5875000000000004"/>
        <n v="5.6134000000000004"/>
        <n v="5.6051000000000002"/>
        <n v="5.6174999999999997"/>
        <n v="5.7012"/>
        <n v="5.7295999999999996"/>
        <n v="5.7394999999999996"/>
        <n v="5.7309999999999999"/>
        <n v="5.7046000000000001"/>
        <n v="5.7674000000000003"/>
        <n v="5.7431000000000001"/>
        <n v="5.8411"/>
        <n v="5.8042999999999996"/>
        <n v="5.7362000000000002"/>
        <n v="5.8021000000000003"/>
        <n v="5.8057999999999996"/>
        <n v="5.8723000000000001"/>
        <n v="5.8078000000000003"/>
        <n v="5.8170000000000002"/>
        <n v="5.7919"/>
        <n v="5.8098999999999998"/>
        <n v="5.8837000000000002"/>
        <n v="5.9116"/>
        <n v="5.9535"/>
        <n v="5.9939"/>
        <n v="6.0831"/>
        <n v="6.0308999999999999"/>
        <n v="5.9268999999999998"/>
        <n v="5.9504000000000001"/>
        <n v="5.9272"/>
        <n v="5.8791000000000002"/>
        <n v="5.8391000000000002"/>
        <n v="5.8788999999999998"/>
        <n v="5.9436"/>
        <n v="5.9522000000000004"/>
        <n v="5.9059999999999997"/>
        <n v="5.9759000000000002"/>
        <n v="6.0462999999999996"/>
        <n v="6.0457999999999998"/>
        <n v="6.0472999999999999"/>
        <n v="6.0555000000000003"/>
        <n v="6.1135000000000002"/>
        <n v="6.1234999999999999"/>
        <n v="6.1292"/>
        <n v="6.1086999999999998"/>
        <n v="6.1093000000000002"/>
        <n v="6.1273999999999997"/>
        <n v="6.2596999999999996"/>
        <n v="6.3150000000000004"/>
        <n v="6.1749999999999998"/>
        <n v="6.1269"/>
        <n v="6.1294000000000004"/>
        <n v="6.0190000000000001"/>
        <n v="5.9995000000000003"/>
        <n v="6.0098000000000003"/>
        <n v="6.0071000000000003"/>
        <n v="6.0027999999999997"/>
        <n v="6.0061"/>
        <n v="6.0568"/>
        <n v="6.0948000000000002"/>
        <n v="6.1692"/>
        <n v="6.1302000000000003"/>
        <n v="6.1338999999999997"/>
        <n v="6.1536999999999997"/>
        <n v="6.2465999999999999"/>
        <n v="6.2545000000000002"/>
        <n v="6.2229000000000001"/>
        <n v="6.2076000000000002"/>
        <n v="6.2439"/>
        <n v="6.218"/>
        <n v="6.1738999999999997"/>
        <n v="6.1929999999999996"/>
        <n v="6.2008000000000001"/>
        <n v="6.2087000000000003"/>
        <n v="6.2428999999999997"/>
        <n v="6.1395"/>
        <n v="6.1142000000000003"/>
        <n v="6.0867000000000004"/>
        <n v="6.0392000000000001"/>
        <n v="6.1111000000000004"/>
        <n v="6.1699000000000002"/>
        <n v="6.0986000000000002"/>
        <n v="6.0979999999999999"/>
        <n v="6.0837000000000003"/>
        <n v="6.0727000000000002"/>
        <n v="6.0707000000000004"/>
        <n v="6.0326000000000004"/>
        <n v="6.0411000000000001"/>
        <n v="5.9928999999999997"/>
        <n v="5.9950999999999999"/>
        <n v="6.0533000000000001"/>
        <n v="6.1020000000000003"/>
        <n v="6.0970000000000004"/>
        <n v="6.1551"/>
        <n v="6.1121999999999996"/>
        <n v="6.1433999999999997"/>
        <n v="6.1691000000000003"/>
        <n v="6.1496000000000004"/>
        <n v="6.15"/>
        <n v="6.1741000000000001"/>
        <n v="6.1531000000000002"/>
        <n v="6.1589"/>
        <n v="6.1658999999999997"/>
        <n v="6.1582999999999997"/>
        <n v="6.1637000000000004"/>
        <n v="6.1688000000000001"/>
        <n v="6.2782999999999998"/>
        <n v="6.2713000000000001"/>
        <n v="6.2991000000000001"/>
        <n v="6.3090999999999999"/>
        <n v="6.3056999999999999"/>
        <n v="6.1896000000000004"/>
        <n v="6.1204000000000001"/>
        <n v="6.1954000000000002"/>
        <n v="6.1718999999999999"/>
        <n v="6.1200999999999999"/>
        <n v="6.1093999999999999"/>
        <n v="6.0896999999999997"/>
        <n v="6.1120000000000001"/>
        <n v="6.1134000000000004"/>
        <n v="6.0500999999999996"/>
        <n v="6.0831999999999997"/>
        <n v="6.0761000000000003"/>
        <n v="6.1607000000000003"/>
        <n v="6.3170000000000002"/>
        <n v="6.3930999999999996"/>
        <n v="6.3471000000000002"/>
        <n v="6.3833000000000002"/>
        <n v="6.3779000000000003"/>
        <n v="6.3266"/>
        <n v="6.3681000000000001"/>
        <n v="6.4142999999999999"/>
        <n v="6.3567"/>
        <n v="6.3262999999999998"/>
        <n v="6.2206000000000001"/>
        <n v="6.3341000000000003"/>
        <n v="6.4756999999999998"/>
        <n v="6.4539"/>
        <n v="6.4179000000000004"/>
        <n v="6.3181000000000003"/>
        <n v="6.4009"/>
        <n v="6.3994"/>
        <n v="6.4165000000000001"/>
        <n v="6.4600999999999997"/>
        <n v="6.4269999999999996"/>
        <n v="6.4344000000000001"/>
        <n v="6.3780999999999999"/>
        <n v="6.3330000000000002"/>
        <n v="6.3521000000000001"/>
        <n v="6.2994000000000003"/>
        <n v="6.3160999999999996"/>
        <n v="6.2710999999999997"/>
        <n v="6.2488999999999999"/>
        <n v="6.2275999999999998"/>
        <n v="6.2442000000000002"/>
        <n v="6.2218"/>
        <n v="6.2131999999999996"/>
        <n v="6.2408999999999999"/>
        <n v="6.2911999999999999"/>
        <n v="6.2850999999999999"/>
        <n v="6.2168000000000001"/>
        <n v="6.1745000000000001"/>
        <n v="6.1952999999999996"/>
        <n v="6.2217000000000002"/>
        <n v="6.1416000000000004"/>
        <n v="6.1044999999999998"/>
        <n v="6.1543000000000001"/>
        <n v="6.0602999999999998"/>
        <n v="6.0511999999999997"/>
        <n v="6.0115999999999996"/>
        <n v="6.0431999999999997"/>
        <n v="5.9978999999999996"/>
        <n v="5.9583000000000004"/>
        <n v="5.9622999999999999"/>
        <n v="5.9741"/>
        <n v="5.9863"/>
        <n v="6.0284000000000004"/>
        <n v="6.0186999999999999"/>
        <n v="5.9833999999999996"/>
        <n v="5.9627999999999997"/>
        <n v="5.9500999999999999"/>
        <n v="5.9703999999999997"/>
        <n v="5.9610000000000003"/>
        <n v="5.9931000000000001"/>
        <n v="6.0644"/>
        <n v="6.0673000000000004"/>
        <n v="6.0632000000000001"/>
        <n v="6.0815000000000001"/>
        <n v="6.2378"/>
        <n v="6.2173999999999996"/>
        <n v="6.2694999999999999"/>
        <n v="6.2771999999999997"/>
        <n v="6.3742999999999999"/>
        <n v="6.3639999999999999"/>
        <n v="6.3112000000000004"/>
        <n v="6.2408000000000001"/>
        <n v="6.2332999999999998"/>
        <n v="6.2110000000000003"/>
        <n v="6.1624999999999996"/>
        <n v="6.1417999999999999"/>
        <n v="6.1841999999999997"/>
        <n v="6.1562000000000001"/>
        <n v="6.1760999999999999"/>
        <n v="6.2060000000000004"/>
        <n v="6.2404999999999999"/>
        <n v="6.1981000000000002"/>
        <n v="6.1597"/>
        <n v="6.1852999999999998"/>
        <n v="6.1948999999999996"/>
        <n v="6.3623000000000003"/>
        <n v="6.4240000000000004"/>
        <n v="6.4770000000000003"/>
        <n v="6.6882999999999999"/>
        <n v="6.6119000000000003"/>
        <n v="6.6494999999999997"/>
        <n v="6.6345999999999998"/>
        <n v="6.6261999999999999"/>
        <n v="6.6928000000000001"/>
        <n v="6.6534000000000004"/>
        <n v="6.5907"/>
        <n v="6.4541000000000004"/>
        <n v="6.4459"/>
        <n v="6.4683999999999999"/>
        <n v="6.4530000000000003"/>
        <n v="6.4337"/>
        <n v="6.4231999999999996"/>
        <n v="6.3882000000000003"/>
        <n v="6.3933999999999997"/>
        <n v="6.4892000000000003"/>
        <n v="6.5090000000000003"/>
        <n v="6.3944000000000001"/>
        <n v="6.3674999999999997"/>
        <n v="6.3087999999999997"/>
        <n v="6.2859999999999996"/>
        <n v="6.2853000000000003"/>
        <n v="6.3013000000000003"/>
        <n v="6.3407999999999998"/>
        <n v="6.3573000000000004"/>
        <n v="6.3701999999999996"/>
        <n v="6.4156000000000004"/>
        <n v="6.3606999999999996"/>
        <n v="6.46"/>
        <n v="6.4425999999999997"/>
        <n v="6.4028999999999998"/>
        <n v="6.4245999999999999"/>
        <n v="6.4295"/>
        <n v="6.4757999999999996"/>
        <n v="6.5072000000000001"/>
        <n v="6.4466000000000001"/>
        <n v="6.4336000000000002"/>
        <n v="6.4005000000000001"/>
        <n v="6.3745000000000003"/>
        <n v="6.3693"/>
        <n v="6.3449999999999998"/>
        <n v="6.3631000000000002"/>
        <n v="6.4109999999999996"/>
        <n v="6.431"/>
        <n v="6.3819999999999997"/>
        <n v="6.3163"/>
        <n v="6.3208000000000002"/>
        <n v="6.3297999999999996"/>
        <n v="6.3692000000000002"/>
        <n v="6.3760000000000003"/>
        <n v="6.4394"/>
        <n v="6.4187000000000003"/>
        <n v="6.4218000000000002"/>
        <n v="6.4180000000000001"/>
        <n v="6.4257"/>
        <n v="6.3724999999999996"/>
        <n v="6.3695000000000004"/>
        <n v="6.3993000000000002"/>
        <n v="6.3874000000000004"/>
        <n v="6.3933"/>
        <n v="6.4778000000000002"/>
        <n v="6.516"/>
        <n v="6.4878"/>
        <n v="6.4560000000000004"/>
        <n v="6.4775"/>
        <n v="6.4630999999999998"/>
        <n v="6.4577999999999998"/>
        <n v="6.5091000000000001"/>
        <n v="6.5439999999999996"/>
        <n v="6.5221"/>
        <n v="6.4970999999999997"/>
        <n v="6.5002000000000004"/>
        <n v="6.4855"/>
        <n v="6.4310999999999998"/>
        <n v="6.4253"/>
        <n v="6.4020000000000001"/>
        <n v="6.4038000000000004"/>
        <n v="6.3742000000000001"/>
        <n v="6.3815"/>
        <n v="6.3810000000000002"/>
        <n v="6.3586"/>
        <n v="6.3247999999999998"/>
        <n v="6.3213999999999997"/>
        <n v="6.3076999999999996"/>
        <n v="6.3159000000000001"/>
        <n v="6.2969999999999997"/>
        <n v="6.3116000000000003"/>
        <n v="6.3164999999999996"/>
        <n v="6.3785999999999996"/>
        <n v="6.3738000000000001"/>
        <n v="6.3609999999999998"/>
        <n v="6.3691000000000004"/>
        <n v="6.3209"/>
        <n v="6.3183999999999996"/>
        <n v="6.3449"/>
        <n v="6.3712"/>
        <n v="6.3604000000000003"/>
        <n v="6.3575999999999997"/>
        <n v="6.3769999999999998"/>
        <n v="6.3612000000000002"/>
        <n v="6.3392999999999997"/>
        <n v="6.3174000000000001"/>
        <n v="6.2865000000000002"/>
        <n v="6.2624000000000004"/>
        <n v="6.2896000000000001"/>
        <n v="6.2778999999999998"/>
        <n v="6.2432999999999996"/>
        <n v="6.2603"/>
        <n v="6.2916999999999996"/>
        <n v="6.2602000000000002"/>
        <n v="6.2351999999999999"/>
        <n v="6.2351000000000001"/>
        <n v="6.2476000000000003"/>
        <n v="6.2424999999999997"/>
        <n v="6.2396000000000003"/>
        <n v="6.2358000000000002"/>
        <n v="6.2502000000000004"/>
        <n v="6.2826000000000004"/>
        <n v="6.2305000000000001"/>
        <n v="6.2283999999999997"/>
        <n v="6.1994999999999996"/>
        <n v="6.1871999999999998"/>
        <n v="6.3216000000000001"/>
        <n v="6.3220999999999998"/>
        <n v="6.3815999999999997"/>
        <n v="6.3372999999999999"/>
        <n v="6.3380999999999998"/>
        <n v="6.3476999999999997"/>
        <n v="6.2657999999999996"/>
        <n v="6.2531999999999996"/>
        <n v="6.2568999999999999"/>
        <n v="6.2507000000000001"/>
        <n v="6.2526999999999999"/>
        <n v="6.2519"/>
        <n v="6.2584999999999997"/>
        <n v="6.2291999999999996"/>
        <n v="6.226"/>
        <n v="6.2127999999999997"/>
        <n v="6.1657999999999999"/>
        <n v="6.1867999999999999"/>
        <n v="6.1741999999999999"/>
        <n v="6.1669999999999998"/>
        <n v="6.1974999999999998"/>
        <n v="6.1391"/>
        <n v="6.1127000000000002"/>
        <n v="6.1303000000000001"/>
        <n v="6.1464999999999996"/>
        <n v="6.1486000000000001"/>
        <n v="6.1581999999999999"/>
        <n v="6.1795999999999998"/>
        <n v="6.1585999999999999"/>
        <n v="6.1990999999999996"/>
        <n v="6.2190000000000003"/>
        <n v="6.2244000000000002"/>
        <n v="6.2218999999999998"/>
        <n v="6.2008999999999999"/>
        <n v="6.1901999999999999"/>
        <n v="6.2167000000000003"/>
        <n v="6.2045000000000003"/>
        <n v="6.1919000000000004"/>
        <n v="6.1803999999999997"/>
        <n v="6.2194000000000003"/>
        <n v="6.3052000000000001"/>
        <n v="6.3446999999999996"/>
        <n v="6.3617999999999997"/>
        <n v="6.3754"/>
        <n v="6.3391000000000002"/>
        <n v="6.3423999999999996"/>
        <n v="6.4139999999999997"/>
        <n v="6.4737999999999998"/>
        <n v="6.4817999999999998"/>
        <n v="6.4580000000000002"/>
        <n v="6.5147000000000004"/>
        <n v="6.3879999999999999"/>
        <n v="6.3605"/>
        <n v="6.2908999999999997"/>
        <n v="6.2972999999999999"/>
        <n v="6.2820999999999998"/>
        <n v="6.2507999999999999"/>
        <n v="6.2789999999999999"/>
        <n v="6.2633000000000001"/>
        <n v="6.2465000000000002"/>
        <n v="6.2366000000000001"/>
        <n v="6.2439999999999998"/>
        <n v="6.3071999999999999"/>
        <n v="6.2321999999999997"/>
        <n v="6.2161999999999997"/>
        <n v="6.2746000000000004"/>
        <n v="6.2601000000000004"/>
        <n v="6.1908000000000003"/>
        <n v="6.1966000000000001"/>
        <n v="6.22"/>
        <n v="6.2004000000000001"/>
        <n v="6.1694000000000004"/>
        <n v="6.1985000000000001"/>
        <n v="6.1855000000000002"/>
        <n v="6.1867000000000001"/>
        <n v="6.1965000000000003"/>
        <n v="6.1459999999999999"/>
        <n v="6.1406999999999998"/>
        <n v="6.1943999999999999"/>
        <n v="6.1733000000000002"/>
        <n v="6.1456"/>
        <n v="6.0891000000000002"/>
        <n v="6.0827999999999998"/>
        <n v="6.0697000000000001"/>
        <n v="6.0613000000000001"/>
        <n v="6.0762"/>
        <n v="6.0724999999999998"/>
        <n v="6.1180000000000003"/>
        <n v="6.0621999999999998"/>
        <n v="6.0736999999999997"/>
        <n v="6.1219999999999999"/>
        <n v="6.0433000000000003"/>
        <n v="6.0111999999999997"/>
        <n v="5.9668999999999999"/>
        <n v="5.9961000000000002"/>
        <n v="5.9943"/>
        <n v="5.9984000000000002"/>
        <n v="6.0537000000000001"/>
        <n v="6.0933999999999999"/>
        <n v="6.0734000000000004"/>
        <n v="6.0887000000000002"/>
        <n v="6.0469999999999997"/>
        <n v="6.0362"/>
        <n v="6.0324999999999998"/>
        <n v="5.9958"/>
        <n v="6.01"/>
        <n v="5.9923000000000002"/>
        <n v="5.9629000000000003"/>
        <n v="5.9476000000000004"/>
        <n v="5.9728000000000003"/>
        <n v="5.9467999999999996"/>
        <n v="5.9478999999999997"/>
        <n v="5.8865999999999996"/>
        <n v="5.8823999999999996"/>
        <n v="5.8708999999999998"/>
        <n v="5.8898000000000001"/>
        <n v="5.8906000000000001"/>
        <n v="5.8632999999999997"/>
        <n v="5.8728999999999996"/>
        <n v="5.8151999999999999"/>
        <n v="5.7968000000000002"/>
        <n v="5.8674999999999997"/>
        <n v="5.8291000000000004"/>
        <n v="5.8419999999999996"/>
        <n v="5.8445"/>
        <n v="5.8498999999999999"/>
        <n v="5.7995000000000001"/>
        <n v="5.7636000000000003"/>
        <n v="5.79"/>
        <n v="5.7831999999999999"/>
        <n v="5.7675000000000001"/>
        <n v="5.7678000000000003"/>
        <n v="5.7453000000000003"/>
        <n v="5.7510000000000003"/>
        <n v="5.8155000000000001"/>
      </sharedItems>
    </cacheField>
    <cacheField name="cotacao_venda" numFmtId="0">
      <sharedItems containsSemiMixedTypes="0" containsString="0" containsNumber="1" minValue="4.9840999999999998" maxValue="6.6940999999999997"/>
    </cacheField>
    <cacheField name="datahoracotacao" numFmtId="22">
      <sharedItems containsSemiMixedTypes="0" containsNonDate="0" containsDate="1" containsString="0" minDate="2022-01-03T13:11:50" maxDate="2026-05-14T13:03:15" count="1089">
        <d v="2022-01-03T13:11:50"/>
        <d v="2022-01-04T13:08:59"/>
        <d v="2022-01-05T13:07:53"/>
        <d v="2022-01-06T13:09:48"/>
        <d v="2022-01-07T13:02:38"/>
        <d v="2022-01-10T13:10:00"/>
        <d v="2022-01-11T13:05:48"/>
        <d v="2022-01-12T13:11:22"/>
        <d v="2022-01-13T13:11:46"/>
        <d v="2022-01-14T13:11:21"/>
        <d v="2022-01-17T13:07:27"/>
        <d v="2022-01-18T13:07:16"/>
        <d v="2022-01-19T13:05:08"/>
        <d v="2022-01-20T13:04:23"/>
        <d v="2022-01-21T13:04:26"/>
        <d v="2022-01-24T13:07:27"/>
        <d v="2022-01-25T13:11:44"/>
        <d v="2022-01-26T13:04:30"/>
        <d v="2022-01-27T13:10:49"/>
        <d v="2022-01-28T13:07:34"/>
        <d v="2022-01-31T13:07:03"/>
        <d v="2022-02-01T13:11:36"/>
        <d v="2022-02-02T13:08:06"/>
        <d v="2022-02-03T13:08:37"/>
        <d v="2022-02-04T13:07:07"/>
        <d v="2022-02-07T13:08:02"/>
        <d v="2022-02-08T13:07:58"/>
        <d v="2022-02-09T13:11:29"/>
        <d v="2022-02-10T13:08:56"/>
        <d v="2022-02-11T13:03:39"/>
        <d v="2022-02-14T13:09:33"/>
        <d v="2022-02-15T13:05:34"/>
        <d v="2022-02-16T13:10:38"/>
        <d v="2022-02-17T13:12:27"/>
        <d v="2022-02-18T13:05:57"/>
        <d v="2022-02-21T13:10:29"/>
        <d v="2022-02-22T13:09:34"/>
        <d v="2022-02-23T13:03:33"/>
        <d v="2022-02-24T13:04:46"/>
        <d v="2022-02-25T13:10:43"/>
        <d v="2022-03-02T15:36:10"/>
        <d v="2022-03-03T13:04:52"/>
        <d v="2022-03-04T13:09:36"/>
        <d v="2022-03-07T13:05:57"/>
        <d v="2022-03-08T13:07:30"/>
        <d v="2022-03-09T13:06:17"/>
        <d v="2022-03-10T16:48:39"/>
        <d v="2022-03-11T13:07:56"/>
        <d v="2022-03-14T13:03:12"/>
        <d v="2022-03-15T13:03:52"/>
        <d v="2022-03-16T13:03:53"/>
        <d v="2022-03-17T16:48:38"/>
        <d v="2022-03-18T13:06:30"/>
        <d v="2022-03-21T14:00:58"/>
        <d v="2022-03-22T14:32:26"/>
        <d v="2022-03-23T15:44:07"/>
        <d v="2022-03-24T14:51:17"/>
        <d v="2022-03-25T17:47:18"/>
        <d v="2022-03-28T17:46:39"/>
        <d v="2022-03-29T15:02:03"/>
        <d v="2022-03-30T16:32:08"/>
        <d v="2022-03-31T14:36:27"/>
        <d v="2022-04-01T17:36:00"/>
        <d v="2022-04-04T16:00:14"/>
        <d v="2022-04-05T17:16:10"/>
        <d v="2022-04-06T15:05:57"/>
        <d v="2022-04-07T14:11:06"/>
        <d v="2022-04-08T16:18:04"/>
        <d v="2022-04-11T15:43:04"/>
        <d v="2022-04-12T17:05:36"/>
        <d v="2022-04-13T16:13:07"/>
        <d v="2022-04-14T17:11:02"/>
        <d v="2022-04-18T17:41:40"/>
        <d v="2022-04-19T15:38:05"/>
        <d v="2022-04-20T14:18:25"/>
        <d v="2022-04-22T14:39:05"/>
        <d v="2022-04-25T15:12:42"/>
        <d v="2022-04-26T13:37:31"/>
        <d v="2022-04-27T16:16:01"/>
        <d v="2022-04-28T15:27:34"/>
        <d v="2022-04-29T16:18:41"/>
        <d v="2022-05-02T15:57:38"/>
        <d v="2022-05-03T16:10:12"/>
        <d v="2022-05-04T15:35:12"/>
        <d v="2022-05-05T17:33:19"/>
        <d v="2022-05-06T17:46:44"/>
        <d v="2022-05-09T15:14:41"/>
        <d v="2022-05-10T17:00:25"/>
        <d v="2022-05-11T15:32:26"/>
        <d v="2022-05-12T13:27:49"/>
        <d v="2022-05-13T17:28:28"/>
        <d v="2022-05-16T17:40:33"/>
        <d v="2022-05-17T17:51:40"/>
        <d v="2022-05-18T17:40:41"/>
        <d v="2022-05-19T17:40:36"/>
        <d v="2022-05-20T17:26:44"/>
        <d v="2022-05-23T17:44:34"/>
        <d v="2022-05-24T17:30:51"/>
        <d v="2022-05-25T17:45:25"/>
        <d v="2022-05-26T17:45:52"/>
        <d v="2022-05-27T17:51:08"/>
        <d v="2022-05-30T17:45:07"/>
        <d v="2022-05-31T15:23:56"/>
        <d v="2022-06-01T17:29:06"/>
        <d v="2022-06-02T17:40:45"/>
        <d v="2022-06-03T17:49:42"/>
        <d v="2022-06-06T17:44:31"/>
        <d v="2022-06-07T17:45:38"/>
        <d v="2022-06-08T17:43:05"/>
        <d v="2022-06-09T17:46:59"/>
        <d v="2022-06-10T14:17:28"/>
        <d v="2022-06-13T17:02:36"/>
        <d v="2022-06-14T13:13:10"/>
        <d v="2022-06-15T13:04:28"/>
        <d v="2022-06-17T17:40:41"/>
        <d v="2022-06-20T17:29:21"/>
        <d v="2022-06-21T17:34:35"/>
        <d v="2022-06-22T17:30:05"/>
        <d v="2022-06-23T17:29:56"/>
        <d v="2022-06-24T17:30:10"/>
        <d v="2022-06-27T17:30:26"/>
        <d v="2022-06-28T17:30:22"/>
        <d v="2022-06-29T17:29:45"/>
        <d v="2022-06-30T14:12:38"/>
        <d v="2022-07-01T17:30:31"/>
        <d v="2022-07-04T17:45:06"/>
        <d v="2022-07-05T13:04:42"/>
        <d v="2022-07-06T13:04:56"/>
        <d v="2022-07-07T13:12:51"/>
        <d v="2022-07-08T13:07:51"/>
        <d v="2022-07-11T13:09:18"/>
        <d v="2022-07-12T13:08:49"/>
        <d v="2022-07-13T13:08:52"/>
        <d v="2022-07-14T13:10:34"/>
        <d v="2022-07-15T13:10:06"/>
        <d v="2022-07-18T13:07:28"/>
        <d v="2022-07-19T13:10:27"/>
        <d v="2022-07-20T13:09:31"/>
        <d v="2022-07-21T13:03:29"/>
        <d v="2022-07-22T13:10:36"/>
        <d v="2022-07-25T13:10:35"/>
        <d v="2022-07-26T13:05:45"/>
        <d v="2022-07-27T13:09:28"/>
        <d v="2022-07-28T13:04:21"/>
        <d v="2022-07-29T13:03:54"/>
        <d v="2022-08-01T13:06:47"/>
        <d v="2022-08-02T13:02:54"/>
        <d v="2022-08-03T13:07:20"/>
        <d v="2022-08-04T13:08:35"/>
        <d v="2022-08-05T13:08:35"/>
        <d v="2022-08-08T13:02:50"/>
        <d v="2022-08-09T13:09:16"/>
        <d v="2022-08-10T13:05:56"/>
        <d v="2022-08-11T13:04:24"/>
        <d v="2022-08-12T13:10:46"/>
        <d v="2022-08-15T13:11:49"/>
        <d v="2022-08-16T13:02:22"/>
        <d v="2022-08-17T13:03:45"/>
        <d v="2022-08-18T13:09:55"/>
        <d v="2022-08-19T13:08:28"/>
        <d v="2022-08-22T13:08:18"/>
        <d v="2022-08-23T13:03:33"/>
        <d v="2022-08-24T13:06:41"/>
        <d v="2022-08-25T13:11:38"/>
        <d v="2022-08-26T13:07:48"/>
        <d v="2022-08-29T13:08:40"/>
        <d v="2022-08-30T13:05:27"/>
        <d v="2022-08-31T13:11:51"/>
        <d v="2022-09-01T13:03:46"/>
        <d v="2022-09-02T13:04:33"/>
        <d v="2022-09-05T13:07:49"/>
        <d v="2022-09-06T13:07:32"/>
        <d v="2022-09-08T13:03:34"/>
        <d v="2022-09-09T13:04:41"/>
        <d v="2022-09-12T13:04:47"/>
        <d v="2022-09-13T13:03:42"/>
        <d v="2022-09-14T13:03:35"/>
        <d v="2022-09-15T13:09:35"/>
        <d v="2022-09-16T13:05:38"/>
        <d v="2022-09-19T13:04:16"/>
        <d v="2022-09-20T13:11:23"/>
        <d v="2022-09-21T13:07:24"/>
        <d v="2022-09-22T13:11:26"/>
        <d v="2022-09-23T13:07:26"/>
        <d v="2022-09-26T13:03:26"/>
        <d v="2022-09-27T13:05:40"/>
        <d v="2022-09-28T13:10:43"/>
        <d v="2022-09-29T13:09:32"/>
        <d v="2022-09-30T13:11:25"/>
        <d v="2022-10-03T13:11:21"/>
        <d v="2022-10-04T13:08:44"/>
        <d v="2022-10-05T13:10:18"/>
        <d v="2022-10-06T13:12:56"/>
        <d v="2022-10-07T13:09:26"/>
        <d v="2022-10-10T13:10:23"/>
        <d v="2022-10-11T13:07:18"/>
        <d v="2022-10-13T13:11:28"/>
        <d v="2022-10-14T13:09:48"/>
        <d v="2022-10-17T13:05:46"/>
        <d v="2022-10-18T13:05:37"/>
        <d v="2022-10-19T13:08:05"/>
        <d v="2022-10-20T13:02:47"/>
        <d v="2022-10-21T13:17:56"/>
        <d v="2022-10-24T13:05:21"/>
        <d v="2022-10-25T13:07:14"/>
        <d v="2022-10-26T13:04:31"/>
        <d v="2022-10-27T13:06:30"/>
        <d v="2022-10-28T13:02:58"/>
        <d v="2022-10-31T13:04:22"/>
        <d v="2022-11-01T13:10:55"/>
        <d v="2022-11-03T13:02:53"/>
        <d v="2022-11-04T13:03:17"/>
        <d v="2022-11-07T13:02:54"/>
        <d v="2022-11-08T13:04:01"/>
        <d v="2022-11-09T13:08:45"/>
        <d v="2022-11-10T13:10:24"/>
        <d v="2022-11-11T13:09:20"/>
        <d v="2022-11-14T13:08:19"/>
        <d v="2022-11-16T13:08:19"/>
        <d v="2022-11-17T13:02:22"/>
        <d v="2022-11-18T13:11:21"/>
        <d v="2022-11-21T13:10:12"/>
        <d v="2022-11-22T13:03:35"/>
        <d v="2022-11-23T13:06:31"/>
        <d v="2022-11-24T13:06:21"/>
        <d v="2022-11-25T13:04:24"/>
        <d v="2022-11-28T13:05:34"/>
        <d v="2022-11-29T13:04:21"/>
        <d v="2022-11-30T13:08:29"/>
        <d v="2022-12-01T13:09:56"/>
        <d v="2022-12-02T13:03:47"/>
        <d v="2022-12-05T13:09:22"/>
        <d v="2022-12-06T13:03:42"/>
        <d v="2022-12-07T13:05:19"/>
        <d v="2022-12-08T13:02:26"/>
        <d v="2022-12-09T13:09:49"/>
        <d v="2022-12-12T13:09:23"/>
        <d v="2022-12-13T13:05:49"/>
        <d v="2022-12-14T13:02:33"/>
        <d v="2022-12-15T13:03:19"/>
        <d v="2022-12-16T13:07:20"/>
        <d v="2022-12-19T13:04:28"/>
        <d v="2022-12-20T13:07:21"/>
        <d v="2022-12-21T13:06:24"/>
        <d v="2022-12-22T13:07:29"/>
        <d v="2022-12-23T13:06:17"/>
        <d v="2022-12-26T13:02:35"/>
        <d v="2022-12-27T13:08:37"/>
        <d v="2022-12-28T13:11:35"/>
        <d v="2022-12-29T13:09:02"/>
        <d v="2022-12-30T10:05:02"/>
        <d v="2023-01-02T13:05:58"/>
        <d v="2023-01-03T13:11:19"/>
        <d v="2023-01-04T13:09:20"/>
        <d v="2023-01-05T13:03:32"/>
        <d v="2023-01-06T13:02:29"/>
        <d v="2023-01-09T13:07:17"/>
        <d v="2023-01-10T13:05:26"/>
        <d v="2023-01-11T13:07:22"/>
        <d v="2023-01-12T13:09:27"/>
        <d v="2023-01-13T13:10:23"/>
        <d v="2023-01-16T13:07:23"/>
        <d v="2023-01-17T13:09:23"/>
        <d v="2023-01-18T13:11:37"/>
        <d v="2023-01-19T13:07:19"/>
        <d v="2023-01-20T13:08:33"/>
        <d v="2023-01-23T13:10:05"/>
        <d v="2023-01-24T13:07:36"/>
        <d v="2023-01-25T13:05:22"/>
        <d v="2023-01-26T13:02:40"/>
        <d v="2023-01-27T13:02:21"/>
        <d v="2023-01-30T13:09:30"/>
        <d v="2023-01-31T13:11:17"/>
        <d v="2023-02-01T13:04:23"/>
        <d v="2023-02-02T13:06:35"/>
        <d v="2023-02-03T13:10:21"/>
        <d v="2023-02-06T13:09:37"/>
        <d v="2023-02-07T13:10:18"/>
        <d v="2023-02-08T13:08:43"/>
        <d v="2023-02-09T13:06:23"/>
        <d v="2023-02-10T13:11:18"/>
        <d v="2023-02-13T13:07:18"/>
        <d v="2023-02-14T13:04:32"/>
        <d v="2023-02-15T13:10:06"/>
        <d v="2023-02-16T13:07:19"/>
        <d v="2023-02-17T13:11:22"/>
        <d v="2023-02-22T15:39:25"/>
        <d v="2023-02-23T13:05:18"/>
        <d v="2023-02-24T13:10:55"/>
        <d v="2023-02-27T13:11:43"/>
        <d v="2023-02-28T13:11:19"/>
        <d v="2023-03-01T13:07:21"/>
        <d v="2023-03-02T13:09:38"/>
        <d v="2023-03-03T13:04:26"/>
        <d v="2023-03-06T13:06:24"/>
        <d v="2023-03-07T13:04:16"/>
        <d v="2023-03-08T13:08:39"/>
        <d v="2023-03-09T13:07:28"/>
        <d v="2023-03-10T13:04:39"/>
        <d v="2023-03-13T13:07:20"/>
        <d v="2023-03-14T13:06:42"/>
        <d v="2023-03-15T13:10:23"/>
        <d v="2023-03-16T13:08:36"/>
        <d v="2023-03-17T13:06:42"/>
        <d v="2023-03-20T13:09:33"/>
        <d v="2023-03-21T13:02:27"/>
        <d v="2023-03-22T13:03:36"/>
        <d v="2023-03-23T13:11:17"/>
        <d v="2023-03-24T13:10:21"/>
        <d v="2023-03-27T13:04:26"/>
        <d v="2023-03-28T13:06:24"/>
        <d v="2023-03-29T13:03:46"/>
        <d v="2023-03-30T13:11:19"/>
        <d v="2023-03-31T13:03:23"/>
        <d v="2023-04-03T13:04:19"/>
        <d v="2023-04-04T13:04:34"/>
        <d v="2023-04-05T13:05:18"/>
        <d v="2023-04-06T13:03:27"/>
        <d v="2023-04-10T13:06:33"/>
        <d v="2023-04-11T13:08:32"/>
        <d v="2023-04-12T13:06:19"/>
        <d v="2023-04-13T13:05:16"/>
        <d v="2023-04-14T13:05:19"/>
        <d v="2023-04-17T13:27:04"/>
        <d v="2023-04-18T13:06:23"/>
        <d v="2023-04-19T13:05:46"/>
        <d v="2023-04-20T13:06:24"/>
        <d v="2023-04-24T13:11:40"/>
        <d v="2023-04-25T13:06:29"/>
        <d v="2023-04-26T13:09:30"/>
        <d v="2023-04-27T13:02:23"/>
        <d v="2023-04-28T13:06:19"/>
        <d v="2023-05-02T13:10:18"/>
        <d v="2023-05-03T13:02:20"/>
        <d v="2023-05-04T13:04:50"/>
        <d v="2023-05-05T13:05:21"/>
        <d v="2023-05-08T13:02:22"/>
        <d v="2023-05-09T13:08:22"/>
        <d v="2023-05-10T13:03:19"/>
        <d v="2023-05-11T13:09:28"/>
        <d v="2023-05-12T13:06:03"/>
        <d v="2023-05-15T13:04:38"/>
        <d v="2023-05-16T13:09:17"/>
        <d v="2023-05-17T13:06:16"/>
        <d v="2023-05-18T13:09:21"/>
        <d v="2023-05-19T13:08:17"/>
        <d v="2023-05-22T13:05:23"/>
        <d v="2023-05-23T13:08:23"/>
        <d v="2023-05-24T13:04:36"/>
        <d v="2023-05-25T13:04:37"/>
        <d v="2023-05-26T13:07:18"/>
        <d v="2023-05-29T13:10:19"/>
        <d v="2023-05-30T13:11:51"/>
        <d v="2023-05-31T13:08:49"/>
        <d v="2023-06-01T13:07:17"/>
        <d v="2023-06-02T13:11:19"/>
        <d v="2023-06-05T13:09:25"/>
        <d v="2023-06-06T13:06:26"/>
        <d v="2023-06-07T13:09:16"/>
        <d v="2023-06-09T13:10:18"/>
        <d v="2023-06-12T13:03:35"/>
        <d v="2023-06-13T13:09:17"/>
        <d v="2023-06-14T13:06:22"/>
        <d v="2023-06-15T13:09:16"/>
        <d v="2023-06-16T13:02:18"/>
        <d v="2023-06-19T13:07:00"/>
        <d v="2023-06-20T13:05:18"/>
        <d v="2023-06-21T13:02:16"/>
        <d v="2023-06-22T13:08:24"/>
        <d v="2023-06-23T13:09:22"/>
        <d v="2023-06-26T13:02:20"/>
        <d v="2023-06-27T13:05:04"/>
        <d v="2023-06-28T13:10:26"/>
        <d v="2023-06-29T13:03:22"/>
        <d v="2023-06-30T13:10:24"/>
        <d v="2023-07-03T13:07:21"/>
        <d v="2023-07-04T13:06:26"/>
        <d v="2023-07-05T13:11:18"/>
        <d v="2023-07-06T13:07:23"/>
        <d v="2023-07-07T13:03:18"/>
        <d v="2023-07-10T13:09:19"/>
        <d v="2023-07-11T13:03:43"/>
        <d v="2023-07-12T13:07:22"/>
        <d v="2023-07-13T13:09:17"/>
        <d v="2023-07-14T13:08:20"/>
        <d v="2023-07-17T13:06:45"/>
        <d v="2023-07-18T13:04:55"/>
        <d v="2023-07-19T13:08:35"/>
        <d v="2023-07-20T13:10:25"/>
        <d v="2023-07-21T13:03:18"/>
        <d v="2023-07-24T13:07:25"/>
        <d v="2023-07-25T13:11:28"/>
        <d v="2023-07-26T13:03:17"/>
        <d v="2023-07-27T13:09:18"/>
        <d v="2023-07-28T13:02:48"/>
        <d v="2023-07-31T13:02:52"/>
        <d v="2023-08-01T13:06:17"/>
        <d v="2023-08-02T13:10:20"/>
        <d v="2023-08-03T13:08:03"/>
        <d v="2023-08-04T13:04:37"/>
        <d v="2023-08-07T13:07:36"/>
        <d v="2023-08-08T13:04:22"/>
        <d v="2023-08-09T13:03:22"/>
        <d v="2023-08-10T13:12:06"/>
        <d v="2023-08-11T13:03:45"/>
        <d v="2023-08-14T13:09:36"/>
        <d v="2023-08-15T13:11:37"/>
        <d v="2023-08-16T13:04:51"/>
        <d v="2023-08-17T13:03:34"/>
        <d v="2023-08-18T13:11:28"/>
        <d v="2023-08-21T13:10:30"/>
        <d v="2023-08-22T13:10:36"/>
        <d v="2023-08-23T13:11:38"/>
        <d v="2023-08-24T13:09:40"/>
        <d v="2023-08-25T13:08:26"/>
        <d v="2023-08-28T13:08:31"/>
        <d v="2023-08-29T13:04:32"/>
        <d v="2023-08-30T13:06:37"/>
        <d v="2023-08-31T13:02:59"/>
        <d v="2023-09-01T13:10:28"/>
        <d v="2023-09-04T13:06:47"/>
        <d v="2023-09-05T13:02:32"/>
        <d v="2023-09-06T13:08:33"/>
        <d v="2023-09-08T13:11:29"/>
        <d v="2023-09-11T13:07:29"/>
        <d v="2023-09-12T13:05:38"/>
        <d v="2023-09-13T13:08:20"/>
        <d v="2023-09-14T13:10:29"/>
        <d v="2023-09-15T13:11:32"/>
        <d v="2023-09-18T13:09:27"/>
        <d v="2023-09-19T13:03:30"/>
        <d v="2023-09-20T13:11:31"/>
        <d v="2023-09-21T13:06:45"/>
        <d v="2023-09-22T13:08:45"/>
        <d v="2023-09-25T13:10:42"/>
        <d v="2023-09-26T13:10:34"/>
        <d v="2023-09-27T13:02:52"/>
        <d v="2023-09-28T13:02:35"/>
        <d v="2023-09-29T13:09:29"/>
        <d v="2023-10-02T13:10:38"/>
        <d v="2023-10-03T13:06:35"/>
        <d v="2023-10-04T13:06:57"/>
        <d v="2023-10-05T13:08:42"/>
        <d v="2023-10-06T13:07:34"/>
        <d v="2023-10-09T13:22:11"/>
        <d v="2023-10-10T13:11:31"/>
        <d v="2023-10-11T13:05:07"/>
        <d v="2023-10-13T13:06:03"/>
        <d v="2023-10-16T13:05:08"/>
        <d v="2023-10-17T13:04:27"/>
        <d v="2023-10-18T13:10:35"/>
        <d v="2023-10-19T13:07:37"/>
        <d v="2023-10-20T13:06:42"/>
        <d v="2023-10-23T13:07:41"/>
        <d v="2023-10-24T13:07:30"/>
        <d v="2023-10-25T13:08:29"/>
        <d v="2023-10-26T13:04:30"/>
        <d v="2023-10-27T13:03:30"/>
        <d v="2023-10-30T13:03:39"/>
        <d v="2023-10-31T13:05:31"/>
        <d v="2023-11-01T13:11:42"/>
        <d v="2023-11-03T13:05:48"/>
        <d v="2023-11-06T13:05:31"/>
        <d v="2023-11-07T13:09:33"/>
        <d v="2023-11-08T13:09:36"/>
        <d v="2023-11-09T13:08:32"/>
        <d v="2023-11-10T13:05:44"/>
        <d v="2023-11-13T13:11:28"/>
        <d v="2023-11-14T13:04:31"/>
        <d v="2023-11-16T13:06:32"/>
        <d v="2023-11-17T13:06:32"/>
        <d v="2023-11-20T13:05:32"/>
        <d v="2023-11-21T13:07:38"/>
        <d v="2023-11-22T13:09:27"/>
        <d v="2023-11-23T13:08:29"/>
        <d v="2023-11-24T13:08:29"/>
        <d v="2023-11-27T13:08:38"/>
        <d v="2023-11-28T13:07:49"/>
        <d v="2023-11-29T13:09:28"/>
        <d v="2023-11-30T13:04:56"/>
        <d v="2023-12-01T13:04:29"/>
        <d v="2023-12-04T13:05:27"/>
        <d v="2023-12-05T13:05:41"/>
        <d v="2023-12-06T13:09:42"/>
        <d v="2023-12-07T13:04:07"/>
        <d v="2023-12-08T13:05:41"/>
        <d v="2023-12-11T13:06:52"/>
        <d v="2023-12-12T13:02:38"/>
        <d v="2023-12-13T13:09:31"/>
        <d v="2023-12-14T13:09:43"/>
        <d v="2023-12-15T13:09:09"/>
        <d v="2023-12-18T13:05:33"/>
        <d v="2023-12-19T13:04:31"/>
        <d v="2023-12-20T13:04:29"/>
        <d v="2023-12-21T13:07:35"/>
        <d v="2023-12-22T13:02:59"/>
        <d v="2023-12-26T13:07:41"/>
        <d v="2023-12-27T13:05:02"/>
        <d v="2023-12-28T13:04:47"/>
        <d v="2023-12-29T10:04:12"/>
        <d v="2024-01-02T13:05:50"/>
        <d v="2024-01-03T13:14:41"/>
        <d v="2024-01-04T13:05:35"/>
        <d v="2024-01-05T13:10:32"/>
        <d v="2024-01-08T13:11:31"/>
        <d v="2024-01-09T13:09:31"/>
        <d v="2024-01-10T13:09:35"/>
        <d v="2024-01-11T17:03:41"/>
        <d v="2024-01-12T13:26:56"/>
        <d v="2024-01-15T13:38:08"/>
        <d v="2024-01-16T13:35:21"/>
        <d v="2024-01-17T14:31:40"/>
        <d v="2024-01-18T14:01:21"/>
        <d v="2024-01-19T13:47:21"/>
        <d v="2024-01-22T14:01:41"/>
        <d v="2024-01-23T13:45:45"/>
        <d v="2024-01-24T15:11:37"/>
        <d v="2024-01-25T14:04:32"/>
        <d v="2024-01-26T15:32:06"/>
        <d v="2024-01-29T13:32:10"/>
        <d v="2024-01-30T14:41:22"/>
        <d v="2024-01-31T15:06:26"/>
        <d v="2024-02-01T14:06:14"/>
        <d v="2024-02-02T14:40:10"/>
        <d v="2024-02-05T13:56:02"/>
        <d v="2024-02-06T15:11:48"/>
        <d v="2024-02-07T14:22:28"/>
        <d v="2024-02-08T15:58:03"/>
        <d v="2024-02-09T17:00:17"/>
        <d v="2024-02-14T16:08:19"/>
        <d v="2024-02-15T15:48:59"/>
        <d v="2024-02-16T15:17:16"/>
        <d v="2024-02-19T16:19:33"/>
        <d v="2024-02-20T16:53:03"/>
        <d v="2024-02-21T16:55:39"/>
        <d v="2024-02-22T14:54:54"/>
        <d v="2024-02-23T15:22:34"/>
        <d v="2024-02-26T14:20:09"/>
        <d v="2024-02-27T15:46:53"/>
        <d v="2024-02-28T15:24:17"/>
        <d v="2024-02-29T14:45:45"/>
        <d v="2024-03-01T16:03:41"/>
        <d v="2024-03-04T14:42:02"/>
        <d v="2024-03-05T15:43:57"/>
        <d v="2024-03-06T14:56:03"/>
        <d v="2024-03-07T15:18:18"/>
        <d v="2024-03-08T15:00:12"/>
        <d v="2024-03-11T15:31:14"/>
        <d v="2024-03-12T14:50:50"/>
        <d v="2024-03-13T15:55:02"/>
        <d v="2024-03-14T14:45:30"/>
        <d v="2024-03-15T15:16:04"/>
        <d v="2024-03-18T14:10:33"/>
        <d v="2024-03-19T15:40:02"/>
        <d v="2024-03-20T13:45:09"/>
        <d v="2024-03-21T14:36:42"/>
        <d v="2024-03-22T15:15:24"/>
        <d v="2024-03-25T16:00:01"/>
        <d v="2024-03-26T15:40:46"/>
        <d v="2024-03-27T15:15:36"/>
        <d v="2024-03-28T14:40:02"/>
        <d v="2024-04-01T15:50:06"/>
        <d v="2024-04-02T16:38:13"/>
        <d v="2024-04-03T15:35:28"/>
        <d v="2024-04-04T14:45:04"/>
        <d v="2024-04-05T15:55:09"/>
        <d v="2024-04-08T15:00:05"/>
        <d v="2024-04-09T15:50:02"/>
        <d v="2024-04-10T15:59:07"/>
        <d v="2024-04-11T14:55:13"/>
        <d v="2024-04-12T15:00:06"/>
        <d v="2024-04-15T15:59:50"/>
        <d v="2024-04-16T15:50:07"/>
        <d v="2024-04-17T16:00:09"/>
        <d v="2024-04-18T16:00:18"/>
        <d v="2024-04-19T14:59:04"/>
        <d v="2024-04-22T16:00:11"/>
        <d v="2024-04-23T15:35:22"/>
        <d v="2024-04-24T14:57:25"/>
        <d v="2024-04-25T15:16:14"/>
        <d v="2024-04-26T15:44:49"/>
        <d v="2024-04-29T13:08:20"/>
        <d v="2024-04-30T13:09:37"/>
        <d v="2024-05-02T13:07:09"/>
        <d v="2024-05-03T13:06:34"/>
        <d v="2024-05-06T13:06:56"/>
        <d v="2024-05-07T13:06:00"/>
        <d v="2024-05-08T13:07:30"/>
        <d v="2024-05-09T13:07:41"/>
        <d v="2024-05-10T13:04:53"/>
        <d v="2024-05-13T13:11:30"/>
        <d v="2024-05-14T13:04:31"/>
        <d v="2024-05-15T13:06:32"/>
        <d v="2024-05-16T13:09:44"/>
        <d v="2024-05-17T13:10:29"/>
        <d v="2024-05-20T13:07:32"/>
        <d v="2024-05-21T13:06:30"/>
        <d v="2024-05-22T13:05:29"/>
        <d v="2024-05-23T13:03:33"/>
        <d v="2024-05-24T13:07:41"/>
        <d v="2024-05-27T13:15:29"/>
        <d v="2024-05-28T13:11:46"/>
        <d v="2024-05-29T13:07:36"/>
        <d v="2024-05-31T13:03:45"/>
        <d v="2024-06-03T13:11:47"/>
        <d v="2024-06-04T13:02:40"/>
        <d v="2024-06-05T13:07:33"/>
        <d v="2024-06-06T13:10:32"/>
        <d v="2024-06-07T13:04:53"/>
        <d v="2024-06-10T13:09:36"/>
        <d v="2024-06-11T13:08:35"/>
        <d v="2024-06-12T13:11:32"/>
        <d v="2024-06-13T13:11:06"/>
        <d v="2024-06-14T13:06:31"/>
        <d v="2024-06-17T13:10:32"/>
        <d v="2024-06-18T13:07:40"/>
        <d v="2024-06-19T13:09:28"/>
        <d v="2024-06-20T13:02:52"/>
        <d v="2024-06-21T13:05:36"/>
        <d v="2024-06-24T13:10:29"/>
        <d v="2024-06-25T13:11:31"/>
        <d v="2024-06-26T13:10:44"/>
        <d v="2024-06-27T13:02:39"/>
        <d v="2024-06-28T13:08:04"/>
        <d v="2024-07-01T13:03:57"/>
        <d v="2024-07-02T13:08:32"/>
        <d v="2024-07-03T13:10:34"/>
        <d v="2024-07-04T13:04:35"/>
        <d v="2024-07-05T13:03:28"/>
        <d v="2024-07-08T13:03:32"/>
        <d v="2024-07-09T13:08:30"/>
        <d v="2024-07-10T13:10:37"/>
        <d v="2024-07-11T13:07:32"/>
        <d v="2024-07-12T13:11:28"/>
        <d v="2024-07-15T13:08:32"/>
        <d v="2024-07-16T13:02:29"/>
        <d v="2024-07-17T13:07:52"/>
        <d v="2024-07-18T13:06:34"/>
        <d v="2024-07-19T13:08:28"/>
        <d v="2024-07-22T13:02:42"/>
        <d v="2024-07-23T13:07:28"/>
        <d v="2024-07-24T13:10:33"/>
        <d v="2024-07-25T13:02:31"/>
        <d v="2024-07-26T13:08:46"/>
        <d v="2024-07-29T13:08:38"/>
        <d v="2024-07-30T13:05:29"/>
        <d v="2024-07-31T13:06:27"/>
        <d v="2024-08-01T13:04:45"/>
        <d v="2024-08-02T13:08:26"/>
        <d v="2024-08-05T13:04:31"/>
        <d v="2024-08-06T13:07:57"/>
        <d v="2024-08-07T13:11:36"/>
        <d v="2024-08-08T13:05:29"/>
        <d v="2024-08-09T13:03:29"/>
        <d v="2024-08-12T13:02:28"/>
        <d v="2024-08-13T13:09:28"/>
        <d v="2024-08-14T13:08:27"/>
        <d v="2024-08-15T13:11:27"/>
        <d v="2024-08-16T13:05:27"/>
        <d v="2024-08-19T13:10:28"/>
        <d v="2024-08-20T13:05:29"/>
        <d v="2024-08-21T13:07:30"/>
        <d v="2024-08-22T13:09:29"/>
        <d v="2024-08-23T13:11:29"/>
        <d v="2024-08-26T13:12:41"/>
        <d v="2024-08-27T13:06:28"/>
        <d v="2024-08-28T13:11:28"/>
        <d v="2024-08-29T13:06:29"/>
        <d v="2024-08-30T13:03:31"/>
        <d v="2024-09-02T13:08:26"/>
        <d v="2024-09-03T13:09:54"/>
        <d v="2024-09-04T13:10:26"/>
        <d v="2024-09-05T13:08:11"/>
        <d v="2024-09-06T13:05:29"/>
        <d v="2024-09-09T13:05:34"/>
        <d v="2024-09-10T13:10:31"/>
        <d v="2024-09-11T14:59:42"/>
        <d v="2024-09-12T13:09:32"/>
        <d v="2024-09-13T13:06:29"/>
        <d v="2024-09-16T13:02:32"/>
        <d v="2024-09-17T13:03:32"/>
        <d v="2024-09-18T13:11:30"/>
        <d v="2024-09-19T13:07:28"/>
        <d v="2024-09-20T13:02:38"/>
        <d v="2024-09-23T13:04:14"/>
        <d v="2024-09-24T13:08:33"/>
        <d v="2024-09-25T13:11:29"/>
        <d v="2024-09-26T13:09:31"/>
        <d v="2024-09-27T13:12:32"/>
        <d v="2024-09-30T13:08:58"/>
        <d v="2024-10-01T13:10:02"/>
        <d v="2024-10-02T13:13:14"/>
        <d v="2024-10-03T13:06:32"/>
        <d v="2024-10-04T13:11:35"/>
        <d v="2024-10-07T13:04:29"/>
        <d v="2024-10-08T13:11:40"/>
        <d v="2024-10-09T13:09:41"/>
        <d v="2024-10-10T13:13:45"/>
        <d v="2024-10-11T13:04:31"/>
        <d v="2024-10-14T13:09:27"/>
        <d v="2024-10-15T13:06:27"/>
        <d v="2024-10-16T13:02:28"/>
        <d v="2024-10-17T13:03:30"/>
        <d v="2024-10-18T13:11:27"/>
        <d v="2024-10-21T13:03:32"/>
        <d v="2024-10-22T13:06:31"/>
        <d v="2024-10-23T13:03:30"/>
        <d v="2024-10-24T13:07:26"/>
        <d v="2024-10-25T13:11:30"/>
        <d v="2024-10-28T13:02:32"/>
        <d v="2024-10-29T13:09:32"/>
        <d v="2024-10-30T13:05:35"/>
        <d v="2024-10-31T13:09:28"/>
        <d v="2024-11-01T13:03:28"/>
        <d v="2024-11-04T13:02:47"/>
        <d v="2024-11-05T13:08:29"/>
        <d v="2024-11-06T13:03:28"/>
        <d v="2024-11-07T13:02:28"/>
        <d v="2024-11-08T13:05:28"/>
        <d v="2024-11-11T13:02:29"/>
        <d v="2024-11-12T13:06:27"/>
        <d v="2024-11-13T13:02:29"/>
        <d v="2024-11-14T13:06:29"/>
        <d v="2024-11-18T13:10:29"/>
        <d v="2024-11-19T13:06:31"/>
        <d v="2024-11-21T13:11:28"/>
        <d v="2024-11-22T13:09:34"/>
        <d v="2024-11-25T13:08:27"/>
        <d v="2024-11-26T13:12:53"/>
        <d v="2024-11-27T13:02:27"/>
        <d v="2024-11-28T13:05:32"/>
        <d v="2024-11-29T13:07:35"/>
        <d v="2024-12-02T13:08:28"/>
        <d v="2024-12-03T13:06:29"/>
        <d v="2024-12-04T13:02:29"/>
        <d v="2024-12-05T13:06:31"/>
        <d v="2024-12-06T13:07:27"/>
        <d v="2024-12-09T13:10:28"/>
        <d v="2024-12-10T13:11:52"/>
        <d v="2024-12-11T13:05:29"/>
        <d v="2024-12-12T13:10:28"/>
        <d v="2024-12-13T13:11:29"/>
        <d v="2024-12-16T13:11:37"/>
        <d v="2024-12-17T13:02:30"/>
        <d v="2024-12-18T13:05:30"/>
        <d v="2024-12-19T13:03:32"/>
        <d v="2024-12-20T13:08:37"/>
        <d v="2024-12-23T13:03:28"/>
        <d v="2024-12-24T11:10:06"/>
        <d v="2024-12-26T13:09:30"/>
        <d v="2024-12-27T13:03:30"/>
        <d v="2024-12-30T13:06:27"/>
        <d v="2024-12-31T10:04:09"/>
        <d v="2025-01-02T13:09:42"/>
        <d v="2025-01-03T13:07:31"/>
        <d v="2025-01-06T13:06:29"/>
        <d v="2025-01-07T13:03:29"/>
        <d v="2025-01-08T13:09:00"/>
        <d v="2025-01-09T13:03:28"/>
        <d v="2025-01-10T13:04:30"/>
        <d v="2025-01-13T13:03:30"/>
        <d v="2025-01-14T13:07:27"/>
        <d v="2025-01-15T13:06:08"/>
        <d v="2025-01-16T13:06:29"/>
        <d v="2025-01-17T13:11:29"/>
        <d v="2025-01-20T13:07:31"/>
        <d v="2025-01-21T13:11:47"/>
        <d v="2025-01-22T13:03:30"/>
        <d v="2025-01-23T13:08:28"/>
        <d v="2025-01-24T13:03:27"/>
        <d v="2025-01-27T13:07:48"/>
        <d v="2025-01-28T13:08:29"/>
        <d v="2025-01-29T13:06:27"/>
        <d v="2025-01-30T13:10:29"/>
        <d v="2025-01-31T13:03:55"/>
        <d v="2025-02-03T13:06:26"/>
        <d v="2025-02-04T13:05:40"/>
        <d v="2025-02-05T13:11:27"/>
        <d v="2025-02-06T13:08:28"/>
        <d v="2025-02-07T13:10:30"/>
        <d v="2025-02-10T13:11:29"/>
        <d v="2025-02-11T13:06:29"/>
        <d v="2025-02-12T13:02:27"/>
        <d v="2025-02-13T13:03:26"/>
        <d v="2025-02-14T13:11:26"/>
        <d v="2025-02-17T13:07:26"/>
        <d v="2025-02-18T13:09:27"/>
        <d v="2025-02-19T13:07:31"/>
        <d v="2025-02-20T13:11:27"/>
        <d v="2025-02-21T13:02:27"/>
        <d v="2025-02-24T13:06:27"/>
        <d v="2025-02-25T13:08:29"/>
        <d v="2025-02-26T13:06:28"/>
        <d v="2025-02-27T13:02:27"/>
        <d v="2025-02-28T13:04:29"/>
        <d v="2025-03-05T15:36:28"/>
        <d v="2025-03-06T13:11:01"/>
        <d v="2025-03-07T13:08:42"/>
        <d v="2025-03-10T13:03:02"/>
        <d v="2025-03-11T13:05:28"/>
        <d v="2025-03-12T13:08:29"/>
        <d v="2025-03-13T13:03:28"/>
        <d v="2025-03-14T13:06:19"/>
        <d v="2025-03-17T13:11:29"/>
        <d v="2025-03-18T13:05:31"/>
        <d v="2025-03-19T13:08:28"/>
        <d v="2025-03-20T13:05:28"/>
        <d v="2025-03-21T13:03:25"/>
        <d v="2025-03-24T13:06:26"/>
        <d v="2025-03-25T13:04:31"/>
        <d v="2025-03-26T13:05:52"/>
        <d v="2025-03-27T13:04:06"/>
        <d v="2025-03-28T13:02:33"/>
        <d v="2025-03-31T13:11:28"/>
        <d v="2025-04-01T13:07:30"/>
        <d v="2025-04-02T13:02:30"/>
        <d v="2025-04-03T13:03:28"/>
        <d v="2025-04-04T13:07:29"/>
        <d v="2025-04-07T13:09:28"/>
        <d v="2025-04-08T13:04:41"/>
        <d v="2025-04-09T13:06:02"/>
        <d v="2025-04-10T13:09:28"/>
        <d v="2025-04-11T13:08:28"/>
        <d v="2025-04-14T13:09:49"/>
        <d v="2025-04-15T13:07:27"/>
        <d v="2025-04-16T13:10:28"/>
        <d v="2025-04-17T13:11:50"/>
        <d v="2025-04-22T13:09:36"/>
        <d v="2025-04-23T13:06:30"/>
        <d v="2025-04-24T13:04:30"/>
        <d v="2025-04-25T13:09:27"/>
        <d v="2025-04-28T13:04:26"/>
        <d v="2025-04-29T13:05:30"/>
        <d v="2025-04-30T13:11:28"/>
        <d v="2025-05-02T13:10:27"/>
        <d v="2025-05-05T13:09:29"/>
        <d v="2025-05-06T13:03:26"/>
        <d v="2025-05-07T13:09:26"/>
        <d v="2025-05-08T13:06:28"/>
        <d v="2025-05-09T13:08:29"/>
        <d v="2025-05-12T13:07:52"/>
        <d v="2025-05-13T13:02:29"/>
        <d v="2025-05-14T13:07:28"/>
        <d v="2025-05-15T13:03:52"/>
        <d v="2025-05-16T13:02:28"/>
        <d v="2025-05-19T13:09:29"/>
        <d v="2025-05-20T13:05:29"/>
        <d v="2025-05-21T13:04:32"/>
        <d v="2025-05-22T13:06:28"/>
        <d v="2025-05-23T13:11:09"/>
        <d v="2025-05-26T13:06:30"/>
        <d v="2025-05-27T13:03:41"/>
        <d v="2025-05-28T13:07:45"/>
        <d v="2025-05-29T13:05:34"/>
        <d v="2025-05-30T13:05:27"/>
        <d v="2025-06-02T13:09:05"/>
        <d v="2025-06-03T13:07:30"/>
        <d v="2025-06-04T13:11:29"/>
        <d v="2025-06-05T13:07:31"/>
        <d v="2025-06-06T13:08:49"/>
        <d v="2025-06-09T13:04:44"/>
        <d v="2025-06-10T13:08:32"/>
        <d v="2025-06-11T13:04:46"/>
        <d v="2025-06-12T13:04:26"/>
        <d v="2025-06-13T13:02:37"/>
        <d v="2025-06-16T13:09:04"/>
        <d v="2025-06-17T13:07:28"/>
        <d v="2025-06-18T13:10:28"/>
        <d v="2025-06-20T13:05:47"/>
        <d v="2025-06-23T13:09:27"/>
        <d v="2025-06-24T13:02:35"/>
        <d v="2025-06-25T13:06:28"/>
        <d v="2025-06-26T13:04:43"/>
        <d v="2025-06-27T13:07:41"/>
        <d v="2025-06-30T13:06:31"/>
        <d v="2025-07-01T13:07:32"/>
        <d v="2025-07-02T13:04:39"/>
        <d v="2025-07-03T13:06:26"/>
        <d v="2025-07-04T13:04:29"/>
        <d v="2025-07-07T13:02:57"/>
        <d v="2025-07-08T13:02:57"/>
        <d v="2025-07-09T13:05:36"/>
        <d v="2025-07-10T13:02:48"/>
        <d v="2025-07-11T13:06:53"/>
        <d v="2025-07-14T13:08:30"/>
        <d v="2025-07-15T13:04:31"/>
        <d v="2025-07-16T13:08:40"/>
        <d v="2025-07-17T13:02:31"/>
        <d v="2025-07-18T13:11:35"/>
        <d v="2025-07-21T13:03:58"/>
        <d v="2025-07-22T13:05:48"/>
        <d v="2025-07-23T13:05:33"/>
        <d v="2025-07-24T13:09:01"/>
        <d v="2025-07-25T13:06:44"/>
        <d v="2025-07-28T13:07:39"/>
        <d v="2025-07-29T13:15:55"/>
        <d v="2025-07-30T13:14:11"/>
        <d v="2025-07-31T13:02:33"/>
        <d v="2025-08-01T13:03:04"/>
        <d v="2025-08-04T13:08:34"/>
        <d v="2025-08-05T13:04:59"/>
        <d v="2025-08-06T13:06:39"/>
        <d v="2025-08-07T13:10:28"/>
        <d v="2025-08-08T13:10:46"/>
        <d v="2025-08-11T13:09:01"/>
        <d v="2025-08-12T13:10:28"/>
        <d v="2025-08-13T13:12:29"/>
        <d v="2025-08-14T13:08:27"/>
        <d v="2025-08-15T13:02:59"/>
        <d v="2025-08-18T13:11:11"/>
        <d v="2025-08-19T13:04:42"/>
        <d v="2025-08-20T13:12:26"/>
        <d v="2025-08-21T13:10:50"/>
        <d v="2025-08-22T13:06:18"/>
        <d v="2025-08-25T13:06:50"/>
        <d v="2025-08-26T13:06:46"/>
        <d v="2025-08-27T13:13:21"/>
        <d v="2025-08-28T13:13:19"/>
        <d v="2025-08-29T13:10:21"/>
        <d v="2025-09-01T13:06:35"/>
        <d v="2025-09-02T13:07:48"/>
        <d v="2025-09-03T13:06:03"/>
        <d v="2025-09-04T13:03:32"/>
        <d v="2025-09-05T13:04:18"/>
        <d v="2025-09-08T13:09:41"/>
        <d v="2025-09-09T13:07:28"/>
        <d v="2025-09-10T13:06:29"/>
        <d v="2025-09-11T13:06:27"/>
        <d v="2025-09-12T13:10:29"/>
        <d v="2025-09-15T13:07:29"/>
        <d v="2025-09-16T13:08:27"/>
        <d v="2025-09-17T13:10:28"/>
        <d v="2025-09-18T13:10:31"/>
        <d v="2025-09-19T13:05:27"/>
        <d v="2025-09-22T13:06:30"/>
        <d v="2025-09-23T13:06:43"/>
        <d v="2025-09-24T13:09:26"/>
        <d v="2025-09-25T13:05:27"/>
        <d v="2025-09-26T13:02:28"/>
        <d v="2025-09-29T13:04:27"/>
        <d v="2025-09-30T13:08:29"/>
        <d v="2025-10-01T13:02:30"/>
        <d v="2025-10-02T13:09:28"/>
        <d v="2025-10-03T13:05:27"/>
        <d v="2025-10-06T13:07:31"/>
        <d v="2025-10-07T13:06:30"/>
        <d v="2025-10-08T13:09:28"/>
        <d v="2025-10-09T13:09:29"/>
        <d v="2025-10-10T13:11:26"/>
        <d v="2025-10-13T13:02:44"/>
        <d v="2025-10-14T13:11:26"/>
        <d v="2025-10-15T13:07:27"/>
        <d v="2025-10-16T13:10:33"/>
        <d v="2025-10-17T13:15:07"/>
        <d v="2025-10-20T13:11:28"/>
        <d v="2025-10-21T13:08:30"/>
        <d v="2025-10-22T13:06:30"/>
        <d v="2025-10-23T13:02:28"/>
        <d v="2025-10-24T13:08:28"/>
        <d v="2025-10-27T13:07:26"/>
        <d v="2025-10-28T13:04:28"/>
        <d v="2025-10-29T13:04:22"/>
        <d v="2025-10-30T13:09:27"/>
        <d v="2025-10-31T13:07:28"/>
        <d v="2025-11-03T13:06:25"/>
        <d v="2025-11-04T13:07:27"/>
        <d v="2025-11-05T13:07:27"/>
        <d v="2025-11-06T13:02:49"/>
        <d v="2025-11-07T13:10:32"/>
        <d v="2025-11-10T13:03:31"/>
        <d v="2025-11-11T13:07:30"/>
        <d v="2025-11-12T13:11:25"/>
        <d v="2025-11-13T13:07:28"/>
        <d v="2025-11-14T13:11:28"/>
        <d v="2025-11-17T13:07:29"/>
        <d v="2025-11-18T13:10:26"/>
        <d v="2025-11-19T13:09:28"/>
        <d v="2025-11-21T13:06:33"/>
        <d v="2025-11-24T13:02:27"/>
        <d v="2025-11-25T13:05:28"/>
        <d v="2025-11-26T13:03:31"/>
        <d v="2025-11-27T13:07:27"/>
        <d v="2025-11-28T13:10:32"/>
        <d v="2025-12-01T13:07:36"/>
        <d v="2025-12-02T13:07:03"/>
        <d v="2025-12-03T13:05:26"/>
        <d v="2025-12-04T13:08:18"/>
        <d v="2025-12-05T13:09:09"/>
        <d v="2025-12-08T13:03:07"/>
        <d v="2025-12-09T13:11:27"/>
        <d v="2025-12-10T13:10:05"/>
        <d v="2025-12-11T13:03:27"/>
        <d v="2025-12-12T13:06:27"/>
        <d v="2025-12-15T13:09:27"/>
        <d v="2025-12-16T13:07:26"/>
        <d v="2025-12-17T13:03:30"/>
        <d v="2025-12-18T13:11:26"/>
        <d v="2025-12-19T13:03:36"/>
        <d v="2025-12-22T13:03:26"/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</sharedItems>
      <fieldGroup par="11"/>
    </cacheField>
    <cacheField name="variacao_venda" numFmtId="0">
      <sharedItems containsSemiMixedTypes="0" containsString="0" containsNumber="1" minValue="-0.19" maxValue="0.22"/>
    </cacheField>
    <cacheField name="variacao_compra" numFmtId="0">
      <sharedItems containsSemiMixedTypes="0" containsString="0" containsNumber="1" minValue="-0.19" maxValue="0.23"/>
    </cacheField>
    <cacheField name="variacao_pct_venda" numFmtId="0">
      <sharedItems containsSemiMixedTypes="0" containsString="0" containsNumber="1" minValue="-3.57" maxValue="4.34"/>
    </cacheField>
    <cacheField name="variacao_pct_compra" numFmtId="0">
      <sharedItems containsSemiMixedTypes="0" containsString="0" containsNumber="1" minValue="-3.59" maxValue="4.3499999999999996"/>
    </cacheField>
    <cacheField name="tipoboletim" numFmtId="0">
      <sharedItems/>
    </cacheField>
    <cacheField name="Months (datahoracotacao)" numFmtId="0" databaseField="0">
      <fieldGroup base="3">
        <rangePr groupBy="months" startDate="2022-01-03T13:11:50" endDate="2026-05-14T13:03:15"/>
        <groupItems count="14">
          <s v="&lt;1/3/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14/2026"/>
        </groupItems>
      </fieldGroup>
    </cacheField>
    <cacheField name="Quarters (datahoracotacao)" numFmtId="0" databaseField="0">
      <fieldGroup base="3">
        <rangePr groupBy="quarters" startDate="2022-01-03T13:11:50" endDate="2026-05-14T13:03:15"/>
        <groupItems count="6">
          <s v="&lt;1/3/2022"/>
          <s v="Qtr1"/>
          <s v="Qtr2"/>
          <s v="Qtr3"/>
          <s v="Qtr4"/>
          <s v="&gt;5/14/2026"/>
        </groupItems>
      </fieldGroup>
    </cacheField>
    <cacheField name="Years (datahoracotacao)" numFmtId="0" databaseField="0">
      <fieldGroup base="3">
        <rangePr groupBy="years" startDate="2022-01-03T13:11:50" endDate="2026-05-14T13:03:15"/>
        <groupItems count="7">
          <s v="&lt;1/3/2022"/>
          <s v="2022"/>
          <s v="2023"/>
          <s v="2024"/>
          <s v="2025"/>
          <s v="2026"/>
          <s v="&gt;5/1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0">
  <r>
    <n v="1"/>
    <x v="0"/>
    <n v="6.3594999999999997"/>
    <x v="0"/>
    <n v="0"/>
    <n v="0"/>
    <n v="0"/>
    <n v="0"/>
    <s v="Fechamento"/>
  </r>
  <r>
    <n v="2"/>
    <x v="1"/>
    <n v="6.4218999999999999"/>
    <x v="1"/>
    <n v="0.06"/>
    <n v="0.06"/>
    <n v="0.98"/>
    <n v="1.01"/>
    <s v="Fechamento"/>
  </r>
  <r>
    <n v="3"/>
    <x v="2"/>
    <n v="6.4210000000000003"/>
    <x v="2"/>
    <n v="0"/>
    <n v="0"/>
    <n v="-0.01"/>
    <n v="-0.04"/>
    <s v="Fechamento"/>
  </r>
  <r>
    <n v="4"/>
    <x v="3"/>
    <n v="6.4435000000000002"/>
    <x v="3"/>
    <n v="0.02"/>
    <n v="0.02"/>
    <n v="0.35"/>
    <n v="0.37"/>
    <s v="Fechamento"/>
  </r>
  <r>
    <n v="5"/>
    <x v="4"/>
    <n v="6.4414999999999996"/>
    <x v="4"/>
    <n v="0"/>
    <n v="0"/>
    <n v="-0.03"/>
    <n v="-0.05"/>
    <s v="Fechamento"/>
  </r>
  <r>
    <n v="6"/>
    <x v="5"/>
    <n v="6.4225000000000003"/>
    <x v="5"/>
    <n v="-0.02"/>
    <n v="-0.02"/>
    <n v="-0.28999999999999998"/>
    <n v="-0.28999999999999998"/>
    <s v="Fechamento"/>
  </r>
  <r>
    <n v="7"/>
    <x v="6"/>
    <n v="6.3907999999999996"/>
    <x v="6"/>
    <n v="-0.03"/>
    <n v="-0.03"/>
    <n v="-0.49"/>
    <n v="-0.49"/>
    <s v="Fechamento"/>
  </r>
  <r>
    <n v="8"/>
    <x v="7"/>
    <n v="6.3524000000000003"/>
    <x v="7"/>
    <n v="-0.04"/>
    <n v="-0.04"/>
    <n v="-0.6"/>
    <n v="-0.61"/>
    <s v="Fechamento"/>
  </r>
  <r>
    <n v="9"/>
    <x v="8"/>
    <n v="6.3316999999999997"/>
    <x v="8"/>
    <n v="-0.02"/>
    <n v="-0.02"/>
    <n v="-0.33"/>
    <n v="-0.3"/>
    <s v="Fechamento"/>
  </r>
  <r>
    <n v="10"/>
    <x v="9"/>
    <n v="6.3285999999999998"/>
    <x v="9"/>
    <n v="0"/>
    <n v="0"/>
    <n v="-0.05"/>
    <n v="-0.05"/>
    <s v="Fechamento"/>
  </r>
  <r>
    <n v="11"/>
    <x v="10"/>
    <n v="6.2798999999999996"/>
    <x v="10"/>
    <n v="-0.05"/>
    <n v="-0.05"/>
    <n v="-0.77"/>
    <n v="-0.8"/>
    <s v="Fechamento"/>
  </r>
  <r>
    <n v="12"/>
    <x v="11"/>
    <n v="6.2638999999999996"/>
    <x v="11"/>
    <n v="-0.02"/>
    <n v="-0.02"/>
    <n v="-0.25"/>
    <n v="-0.25"/>
    <s v="Fechamento"/>
  </r>
  <r>
    <n v="13"/>
    <x v="12"/>
    <n v="6.2384000000000004"/>
    <x v="12"/>
    <n v="-0.03"/>
    <n v="-0.03"/>
    <n v="-0.41"/>
    <n v="-0.41"/>
    <s v="Fechamento"/>
  </r>
  <r>
    <n v="14"/>
    <x v="13"/>
    <n v="6.1478000000000002"/>
    <x v="13"/>
    <n v="-0.09"/>
    <n v="-0.09"/>
    <n v="-1.45"/>
    <n v="-1.45"/>
    <s v="Fechamento"/>
  </r>
  <r>
    <n v="15"/>
    <x v="14"/>
    <n v="6.1729000000000003"/>
    <x v="14"/>
    <n v="0.03"/>
    <n v="0.03"/>
    <n v="0.41"/>
    <n v="0.43"/>
    <s v="Fechamento"/>
  </r>
  <r>
    <n v="16"/>
    <x v="15"/>
    <n v="6.2103000000000002"/>
    <x v="15"/>
    <n v="0.04"/>
    <n v="0.04"/>
    <n v="0.61"/>
    <n v="0.59"/>
    <s v="Fechamento"/>
  </r>
  <r>
    <n v="17"/>
    <x v="16"/>
    <n v="6.1985000000000001"/>
    <x v="16"/>
    <n v="-0.01"/>
    <n v="-0.01"/>
    <n v="-0.19"/>
    <n v="-0.2"/>
    <s v="Fechamento"/>
  </r>
  <r>
    <n v="18"/>
    <x v="17"/>
    <n v="6.1288"/>
    <x v="17"/>
    <n v="-7.0000000000000007E-2"/>
    <n v="-7.0000000000000007E-2"/>
    <n v="-1.1200000000000001"/>
    <n v="-1.1100000000000001"/>
    <s v="Fechamento"/>
  </r>
  <r>
    <n v="19"/>
    <x v="18"/>
    <n v="6.0011000000000001"/>
    <x v="18"/>
    <n v="-0.13"/>
    <n v="-0.13"/>
    <n v="-2.08"/>
    <n v="-2.1"/>
    <s v="Fechamento"/>
  </r>
  <r>
    <n v="20"/>
    <x v="19"/>
    <n v="6.0244999999999997"/>
    <x v="19"/>
    <n v="0.02"/>
    <n v="0.02"/>
    <n v="0.39"/>
    <n v="0.39"/>
    <s v="Fechamento"/>
  </r>
  <r>
    <n v="21"/>
    <x v="20"/>
    <n v="6.0072999999999999"/>
    <x v="20"/>
    <n v="-0.02"/>
    <n v="-0.02"/>
    <n v="-0.28999999999999998"/>
    <n v="-0.26"/>
    <s v="Fechamento"/>
  </r>
  <r>
    <n v="22"/>
    <x v="21"/>
    <n v="5.9405999999999999"/>
    <x v="21"/>
    <n v="-7.0000000000000007E-2"/>
    <n v="-7.0000000000000007E-2"/>
    <n v="-1.1100000000000001"/>
    <n v="-1.1399999999999999"/>
    <s v="Fechamento"/>
  </r>
  <r>
    <n v="23"/>
    <x v="22"/>
    <n v="5.984"/>
    <x v="22"/>
    <n v="0.04"/>
    <n v="0.04"/>
    <n v="0.73"/>
    <n v="0.73"/>
    <s v="Fechamento"/>
  </r>
  <r>
    <n v="24"/>
    <x v="23"/>
    <n v="6.0548999999999999"/>
    <x v="23"/>
    <n v="7.0000000000000007E-2"/>
    <n v="7.0000000000000007E-2"/>
    <n v="1.18"/>
    <n v="1.19"/>
    <s v="Fechamento"/>
  </r>
  <r>
    <n v="25"/>
    <x v="24"/>
    <n v="6.0968"/>
    <x v="24"/>
    <n v="0.04"/>
    <n v="0.04"/>
    <n v="0.69"/>
    <n v="0.72"/>
    <s v="Fechamento"/>
  </r>
  <r>
    <n v="26"/>
    <x v="25"/>
    <n v="6.0553999999999997"/>
    <x v="25"/>
    <n v="-0.04"/>
    <n v="-0.04"/>
    <n v="-0.68"/>
    <n v="-0.68"/>
    <s v="Fechamento"/>
  </r>
  <r>
    <n v="27"/>
    <x v="26"/>
    <n v="6.0187999999999997"/>
    <x v="26"/>
    <n v="-0.04"/>
    <n v="-0.04"/>
    <n v="-0.6"/>
    <n v="-0.63"/>
    <s v="Fechamento"/>
  </r>
  <r>
    <n v="28"/>
    <x v="27"/>
    <n v="6.0270999999999999"/>
    <x v="27"/>
    <n v="0.01"/>
    <n v="0.01"/>
    <n v="0.14000000000000001"/>
    <n v="0.16"/>
    <s v="Fechamento"/>
  </r>
  <r>
    <n v="29"/>
    <x v="28"/>
    <n v="5.9744000000000002"/>
    <x v="28"/>
    <n v="-0.05"/>
    <n v="-0.05"/>
    <n v="-0.87"/>
    <n v="-0.87"/>
    <s v="Fechamento"/>
  </r>
  <r>
    <n v="30"/>
    <x v="29"/>
    <n v="5.9286000000000003"/>
    <x v="29"/>
    <n v="-0.05"/>
    <n v="-0.05"/>
    <n v="-0.77"/>
    <n v="-0.79"/>
    <s v="Fechamento"/>
  </r>
  <r>
    <n v="31"/>
    <x v="30"/>
    <n v="5.8926999999999996"/>
    <x v="30"/>
    <n v="-0.04"/>
    <n v="-0.04"/>
    <n v="-0.61"/>
    <n v="-0.61"/>
    <s v="Fechamento"/>
  </r>
  <r>
    <n v="32"/>
    <x v="31"/>
    <n v="5.8921000000000001"/>
    <x v="31"/>
    <n v="0"/>
    <n v="0"/>
    <n v="-0.01"/>
    <n v="0.01"/>
    <s v="Fechamento"/>
  </r>
  <r>
    <n v="33"/>
    <x v="32"/>
    <n v="5.8688000000000002"/>
    <x v="32"/>
    <n v="-0.02"/>
    <n v="-0.02"/>
    <n v="-0.4"/>
    <n v="-0.41"/>
    <s v="Fechamento"/>
  </r>
  <r>
    <n v="34"/>
    <x v="33"/>
    <n v="5.8639999999999999"/>
    <x v="33"/>
    <n v="0"/>
    <n v="0"/>
    <n v="-0.08"/>
    <n v="-0.08"/>
    <s v="Fechamento"/>
  </r>
  <r>
    <n v="35"/>
    <x v="34"/>
    <n v="5.8234000000000004"/>
    <x v="34"/>
    <n v="-0.04"/>
    <n v="-0.04"/>
    <n v="-0.69"/>
    <n v="-0.67"/>
    <s v="Fechamento"/>
  </r>
  <r>
    <n v="36"/>
    <x v="35"/>
    <n v="5.782"/>
    <x v="35"/>
    <n v="-0.04"/>
    <n v="-0.04"/>
    <n v="-0.71"/>
    <n v="-0.73"/>
    <s v="Fechamento"/>
  </r>
  <r>
    <n v="37"/>
    <x v="36"/>
    <n v="5.7378"/>
    <x v="36"/>
    <n v="-0.04"/>
    <n v="-0.04"/>
    <n v="-0.76"/>
    <n v="-0.76"/>
    <s v="Fechamento"/>
  </r>
  <r>
    <n v="38"/>
    <x v="37"/>
    <n v="5.6782000000000004"/>
    <x v="37"/>
    <n v="-0.06"/>
    <n v="-0.06"/>
    <n v="-1.04"/>
    <n v="-1.01"/>
    <s v="Fechamento"/>
  </r>
  <r>
    <n v="39"/>
    <x v="38"/>
    <n v="5.6864999999999997"/>
    <x v="38"/>
    <n v="0.01"/>
    <n v="0.01"/>
    <n v="0.15"/>
    <n v="0.15"/>
    <s v="Fechamento"/>
  </r>
  <r>
    <n v="40"/>
    <x v="39"/>
    <n v="5.7803000000000004"/>
    <x v="39"/>
    <n v="0.09"/>
    <n v="0.09"/>
    <n v="1.65"/>
    <n v="1.62"/>
    <s v="Fechamento"/>
  </r>
  <r>
    <n v="41"/>
    <x v="40"/>
    <n v="5.7077"/>
    <x v="40"/>
    <n v="-7.0000000000000007E-2"/>
    <n v="-7.0000000000000007E-2"/>
    <n v="-1.26"/>
    <n v="-1.24"/>
    <s v="Fechamento"/>
  </r>
  <r>
    <n v="42"/>
    <x v="41"/>
    <n v="5.5839999999999996"/>
    <x v="41"/>
    <n v="-0.12"/>
    <n v="-0.12"/>
    <n v="-2.17"/>
    <n v="-2.16"/>
    <s v="Fechamento"/>
  </r>
  <r>
    <n v="43"/>
    <x v="42"/>
    <n v="5.5433000000000003"/>
    <x v="42"/>
    <n v="-0.04"/>
    <n v="-0.04"/>
    <n v="-0.73"/>
    <n v="-0.76"/>
    <s v="Fechamento"/>
  </r>
  <r>
    <n v="44"/>
    <x v="43"/>
    <n v="5.5025000000000004"/>
    <x v="43"/>
    <n v="-0.04"/>
    <n v="-0.04"/>
    <n v="-0.74"/>
    <n v="-0.74"/>
    <s v="Fechamento"/>
  </r>
  <r>
    <n v="45"/>
    <x v="44"/>
    <n v="5.5372000000000003"/>
    <x v="44"/>
    <n v="0.03"/>
    <n v="0.03"/>
    <n v="0.63"/>
    <n v="0.63"/>
    <s v="Fechamento"/>
  </r>
  <r>
    <n v="46"/>
    <x v="45"/>
    <n v="5.5339"/>
    <x v="45"/>
    <n v="0"/>
    <n v="0"/>
    <n v="-0.06"/>
    <n v="-0.06"/>
    <s v="Fechamento"/>
  </r>
  <r>
    <n v="47"/>
    <x v="46"/>
    <n v="5.5659999999999998"/>
    <x v="46"/>
    <n v="0.03"/>
    <n v="0.03"/>
    <n v="0.57999999999999996"/>
    <n v="0.61"/>
    <s v="Fechamento"/>
  </r>
  <r>
    <n v="48"/>
    <x v="47"/>
    <n v="5.5114999999999998"/>
    <x v="47"/>
    <n v="-0.05"/>
    <n v="-0.06"/>
    <n v="-0.98"/>
    <n v="-1.01"/>
    <s v="Fechamento"/>
  </r>
  <r>
    <n v="49"/>
    <x v="48"/>
    <n v="5.5614999999999997"/>
    <x v="48"/>
    <n v="0.05"/>
    <n v="0.05"/>
    <n v="0.91"/>
    <n v="0.91"/>
    <s v="Fechamento"/>
  </r>
  <r>
    <n v="50"/>
    <x v="49"/>
    <n v="5.6317000000000004"/>
    <x v="49"/>
    <n v="7.0000000000000007E-2"/>
    <n v="7.0000000000000007E-2"/>
    <n v="1.26"/>
    <n v="1.26"/>
    <s v="Fechamento"/>
  </r>
  <r>
    <n v="51"/>
    <x v="50"/>
    <n v="5.6384999999999996"/>
    <x v="50"/>
    <n v="0.01"/>
    <n v="0.01"/>
    <n v="0.12"/>
    <n v="0.12"/>
    <s v="Fechamento"/>
  </r>
  <r>
    <n v="52"/>
    <x v="51"/>
    <n v="5.6398999999999999"/>
    <x v="51"/>
    <n v="0"/>
    <n v="0"/>
    <n v="0.02"/>
    <n v="0.04"/>
    <s v="Fechamento"/>
  </r>
  <r>
    <n v="53"/>
    <x v="52"/>
    <n v="5.5704000000000002"/>
    <x v="52"/>
    <n v="-7.0000000000000007E-2"/>
    <n v="-7.0000000000000007E-2"/>
    <n v="-1.23"/>
    <n v="-1.25"/>
    <s v="Fechamento"/>
  </r>
  <r>
    <n v="54"/>
    <x v="53"/>
    <n v="5.4866000000000001"/>
    <x v="53"/>
    <n v="-0.08"/>
    <n v="-0.08"/>
    <n v="-1.5"/>
    <n v="-1.5"/>
    <s v="Fechamento"/>
  </r>
  <r>
    <n v="55"/>
    <x v="54"/>
    <n v="5.4246999999999996"/>
    <x v="54"/>
    <n v="-0.06"/>
    <n v="-0.06"/>
    <n v="-1.1299999999999999"/>
    <n v="-1.1299999999999999"/>
    <s v="Fechamento"/>
  </r>
  <r>
    <n v="56"/>
    <x v="55"/>
    <n v="5.3589000000000002"/>
    <x v="55"/>
    <n v="-7.0000000000000007E-2"/>
    <n v="-7.0000000000000007E-2"/>
    <n v="-1.21"/>
    <n v="-1.21"/>
    <s v="Fechamento"/>
  </r>
  <r>
    <n v="57"/>
    <x v="56"/>
    <n v="5.2911999999999999"/>
    <x v="56"/>
    <n v="-7.0000000000000007E-2"/>
    <n v="-7.0000000000000007E-2"/>
    <n v="-1.26"/>
    <n v="-1.26"/>
    <s v="Fechamento"/>
  </r>
  <r>
    <n v="58"/>
    <x v="57"/>
    <n v="5.2478999999999996"/>
    <x v="57"/>
    <n v="-0.04"/>
    <n v="-0.04"/>
    <n v="-0.82"/>
    <n v="-0.79"/>
    <s v="Fechamento"/>
  </r>
  <r>
    <n v="59"/>
    <x v="58"/>
    <n v="5.2584999999999997"/>
    <x v="58"/>
    <n v="0.01"/>
    <n v="0.01"/>
    <n v="0.2"/>
    <n v="0.2"/>
    <s v="Fechamento"/>
  </r>
  <r>
    <n v="60"/>
    <x v="59"/>
    <n v="5.2743000000000002"/>
    <x v="59"/>
    <n v="0.02"/>
    <n v="0.02"/>
    <n v="0.3"/>
    <n v="0.3"/>
    <s v="Fechamento"/>
  </r>
  <r>
    <n v="61"/>
    <x v="60"/>
    <n v="5.3026"/>
    <x v="60"/>
    <n v="0.03"/>
    <n v="0.03"/>
    <n v="0.54"/>
    <n v="0.51"/>
    <s v="Fechamento"/>
  </r>
  <r>
    <n v="62"/>
    <x v="61"/>
    <n v="5.2561"/>
    <x v="61"/>
    <n v="-0.05"/>
    <n v="-0.04"/>
    <n v="-0.88"/>
    <n v="-0.85"/>
    <s v="Fechamento"/>
  </r>
  <r>
    <n v="63"/>
    <x v="62"/>
    <n v="5.1902999999999997"/>
    <x v="62"/>
    <n v="-7.0000000000000007E-2"/>
    <n v="-7.0000000000000007E-2"/>
    <n v="-1.25"/>
    <n v="-1.28"/>
    <s v="Fechamento"/>
  </r>
  <r>
    <n v="64"/>
    <x v="63"/>
    <n v="5.0765000000000002"/>
    <x v="63"/>
    <n v="-0.11"/>
    <n v="-0.11"/>
    <n v="-2.19"/>
    <n v="-2.17"/>
    <s v="Fechamento"/>
  </r>
  <r>
    <n v="65"/>
    <x v="64"/>
    <n v="5.0682999999999998"/>
    <x v="64"/>
    <n v="-0.01"/>
    <n v="-0.01"/>
    <n v="-0.16"/>
    <n v="-0.19"/>
    <s v="Fechamento"/>
  </r>
  <r>
    <n v="66"/>
    <x v="65"/>
    <n v="5.125"/>
    <x v="65"/>
    <n v="0.06"/>
    <n v="0.06"/>
    <n v="1.1200000000000001"/>
    <n v="1.1499999999999999"/>
    <s v="Fechamento"/>
  </r>
  <r>
    <n v="67"/>
    <x v="66"/>
    <n v="5.1689999999999996"/>
    <x v="66"/>
    <n v="0.04"/>
    <n v="0.04"/>
    <n v="0.86"/>
    <n v="0.83"/>
    <s v="Fechamento"/>
  </r>
  <r>
    <n v="68"/>
    <x v="67"/>
    <n v="5.1675000000000004"/>
    <x v="67"/>
    <n v="0"/>
    <n v="0"/>
    <n v="-0.03"/>
    <n v="-0.03"/>
    <s v="Fechamento"/>
  </r>
  <r>
    <n v="69"/>
    <x v="68"/>
    <n v="5.1154000000000002"/>
    <x v="68"/>
    <n v="-0.05"/>
    <n v="-0.05"/>
    <n v="-1.01"/>
    <n v="-1.01"/>
    <s v="Fechamento"/>
  </r>
  <r>
    <n v="70"/>
    <x v="69"/>
    <n v="5.0457000000000001"/>
    <x v="69"/>
    <n v="-7.0000000000000007E-2"/>
    <n v="-7.0000000000000007E-2"/>
    <n v="-1.36"/>
    <n v="-1.36"/>
    <s v="Fechamento"/>
  </r>
  <r>
    <n v="71"/>
    <x v="70"/>
    <n v="5.0907"/>
    <x v="70"/>
    <n v="0.04"/>
    <n v="0.04"/>
    <n v="0.89"/>
    <n v="0.89"/>
    <s v="Fechamento"/>
  </r>
  <r>
    <n v="72"/>
    <x v="71"/>
    <n v="5.0921000000000003"/>
    <x v="71"/>
    <n v="0"/>
    <n v="0"/>
    <n v="0.03"/>
    <n v="0.03"/>
    <s v="Fechamento"/>
  </r>
  <r>
    <n v="73"/>
    <x v="72"/>
    <n v="5.0419999999999998"/>
    <x v="72"/>
    <n v="-0.05"/>
    <n v="-0.05"/>
    <n v="-0.98"/>
    <n v="-0.98"/>
    <s v="Fechamento"/>
  </r>
  <r>
    <n v="74"/>
    <x v="73"/>
    <n v="5.0359999999999996"/>
    <x v="73"/>
    <n v="-0.01"/>
    <n v="-0.01"/>
    <n v="-0.12"/>
    <n v="-0.12"/>
    <s v="Fechamento"/>
  </r>
  <r>
    <n v="75"/>
    <x v="74"/>
    <n v="5.0377999999999998"/>
    <x v="74"/>
    <n v="0"/>
    <n v="0"/>
    <n v="0.04"/>
    <n v="0.04"/>
    <s v="Fechamento"/>
  </r>
  <r>
    <n v="76"/>
    <x v="75"/>
    <n v="5.1069000000000004"/>
    <x v="75"/>
    <n v="7.0000000000000007E-2"/>
    <n v="7.0000000000000007E-2"/>
    <n v="1.37"/>
    <n v="1.37"/>
    <s v="Fechamento"/>
  </r>
  <r>
    <n v="77"/>
    <x v="76"/>
    <n v="5.226"/>
    <x v="76"/>
    <n v="0.12"/>
    <n v="0.12"/>
    <n v="2.33"/>
    <n v="2.33"/>
    <s v="Fechamento"/>
  </r>
  <r>
    <n v="78"/>
    <x v="77"/>
    <n v="5.2953999999999999"/>
    <x v="77"/>
    <n v="7.0000000000000007E-2"/>
    <n v="7.0000000000000007E-2"/>
    <n v="1.33"/>
    <n v="1.33"/>
    <s v="Fechamento"/>
  </r>
  <r>
    <n v="79"/>
    <x v="78"/>
    <n v="5.2915999999999999"/>
    <x v="78"/>
    <n v="0"/>
    <n v="0"/>
    <n v="-7.0000000000000007E-2"/>
    <n v="-7.0000000000000007E-2"/>
    <s v="Fechamento"/>
  </r>
  <r>
    <n v="80"/>
    <x v="79"/>
    <n v="5.2621000000000002"/>
    <x v="79"/>
    <n v="-0.03"/>
    <n v="-0.03"/>
    <n v="-0.56000000000000005"/>
    <n v="-0.53"/>
    <s v="Fechamento"/>
  </r>
  <r>
    <n v="81"/>
    <x v="80"/>
    <n v="5.1852"/>
    <x v="80"/>
    <n v="-0.08"/>
    <n v="-0.08"/>
    <n v="-1.46"/>
    <n v="-1.46"/>
    <s v="Fechamento"/>
  </r>
  <r>
    <n v="82"/>
    <x v="81"/>
    <n v="5.2889999999999997"/>
    <x v="81"/>
    <n v="0.1"/>
    <n v="0.1"/>
    <n v="2"/>
    <n v="2"/>
    <s v="Fechamento"/>
  </r>
  <r>
    <n v="83"/>
    <x v="82"/>
    <n v="5.2846000000000002"/>
    <x v="82"/>
    <n v="0"/>
    <n v="-0.01"/>
    <n v="-0.08"/>
    <n v="-0.11"/>
    <s v="Fechamento"/>
  </r>
  <r>
    <n v="84"/>
    <x v="83"/>
    <n v="5.2808000000000002"/>
    <x v="83"/>
    <n v="0"/>
    <n v="0"/>
    <n v="-7.0000000000000007E-2"/>
    <n v="-7.0000000000000007E-2"/>
    <s v="Fechamento"/>
  </r>
  <r>
    <n v="85"/>
    <x v="84"/>
    <n v="5.2599"/>
    <x v="84"/>
    <n v="-0.02"/>
    <n v="-0.02"/>
    <n v="-0.4"/>
    <n v="-0.4"/>
    <s v="Fechamento"/>
  </r>
  <r>
    <n v="86"/>
    <x v="85"/>
    <n v="5.3658000000000001"/>
    <x v="85"/>
    <n v="0.11"/>
    <n v="0.11"/>
    <n v="2.0099999999999998"/>
    <n v="2.0099999999999998"/>
    <s v="Fechamento"/>
  </r>
  <r>
    <n v="87"/>
    <x v="86"/>
    <n v="5.4210000000000003"/>
    <x v="86"/>
    <n v="0.06"/>
    <n v="0.06"/>
    <n v="1.03"/>
    <n v="1.03"/>
    <s v="Fechamento"/>
  </r>
  <r>
    <n v="88"/>
    <x v="87"/>
    <n v="5.4134000000000002"/>
    <x v="87"/>
    <n v="-0.01"/>
    <n v="-0.01"/>
    <n v="-0.14000000000000001"/>
    <n v="-0.14000000000000001"/>
    <s v="Fechamento"/>
  </r>
  <r>
    <n v="89"/>
    <x v="88"/>
    <n v="5.4005999999999998"/>
    <x v="88"/>
    <n v="-0.01"/>
    <n v="-0.01"/>
    <n v="-0.24"/>
    <n v="-0.24"/>
    <s v="Fechamento"/>
  </r>
  <r>
    <n v="90"/>
    <x v="89"/>
    <n v="5.3422999999999998"/>
    <x v="89"/>
    <n v="-0.06"/>
    <n v="-0.06"/>
    <n v="-1.08"/>
    <n v="-1.06"/>
    <s v="Fechamento"/>
  </r>
  <r>
    <n v="91"/>
    <x v="90"/>
    <n v="5.3178999999999998"/>
    <x v="90"/>
    <n v="-0.02"/>
    <n v="-0.02"/>
    <n v="-0.46"/>
    <n v="-0.46"/>
    <s v="Fechamento"/>
  </r>
  <r>
    <n v="92"/>
    <x v="91"/>
    <n v="5.2793999999999999"/>
    <x v="91"/>
    <n v="-0.04"/>
    <n v="-0.04"/>
    <n v="-0.72"/>
    <n v="-0.71"/>
    <s v="Fechamento"/>
  </r>
  <r>
    <n v="93"/>
    <x v="92"/>
    <n v="5.2333999999999996"/>
    <x v="92"/>
    <n v="-0.05"/>
    <n v="-0.05"/>
    <n v="-0.87"/>
    <n v="-0.9"/>
    <s v="Fechamento"/>
  </r>
  <r>
    <n v="94"/>
    <x v="93"/>
    <n v="5.2037000000000004"/>
    <x v="93"/>
    <n v="-0.03"/>
    <n v="-0.03"/>
    <n v="-0.56999999999999995"/>
    <n v="-0.56999999999999995"/>
    <s v="Fechamento"/>
  </r>
  <r>
    <n v="95"/>
    <x v="94"/>
    <n v="5.2096"/>
    <x v="94"/>
    <n v="0.01"/>
    <n v="0.01"/>
    <n v="0.11"/>
    <n v="0.11"/>
    <s v="Fechamento"/>
  </r>
  <r>
    <n v="96"/>
    <x v="95"/>
    <n v="5.1504000000000003"/>
    <x v="95"/>
    <n v="-0.06"/>
    <n v="-0.06"/>
    <n v="-1.1399999999999999"/>
    <n v="-1.1100000000000001"/>
    <s v="Fechamento"/>
  </r>
  <r>
    <n v="97"/>
    <x v="96"/>
    <n v="5.1181999999999999"/>
    <x v="96"/>
    <n v="-0.03"/>
    <n v="-0.03"/>
    <n v="-0.63"/>
    <n v="-0.63"/>
    <s v="Fechamento"/>
  </r>
  <r>
    <n v="98"/>
    <x v="66"/>
    <n v="5.1689999999999996"/>
    <x v="97"/>
    <n v="0.05"/>
    <n v="0.05"/>
    <n v="0.99"/>
    <n v="0.97"/>
    <s v="Fechamento"/>
  </r>
  <r>
    <n v="99"/>
    <x v="97"/>
    <n v="5.1546000000000003"/>
    <x v="98"/>
    <n v="-0.01"/>
    <n v="-0.01"/>
    <n v="-0.28000000000000003"/>
    <n v="-0.28000000000000003"/>
    <s v="Fechamento"/>
  </r>
  <r>
    <n v="100"/>
    <x v="98"/>
    <n v="5.1459000000000001"/>
    <x v="99"/>
    <n v="-0.01"/>
    <n v="-0.01"/>
    <n v="-0.17"/>
    <n v="-0.17"/>
    <s v="Fechamento"/>
  </r>
  <r>
    <n v="101"/>
    <x v="99"/>
    <n v="5.0796999999999999"/>
    <x v="100"/>
    <n v="-7.0000000000000007E-2"/>
    <n v="-7.0000000000000007E-2"/>
    <n v="-1.29"/>
    <n v="-1.27"/>
    <s v="Fechamento"/>
  </r>
  <r>
    <n v="102"/>
    <x v="100"/>
    <n v="5.0903999999999998"/>
    <x v="101"/>
    <n v="0.01"/>
    <n v="0.01"/>
    <n v="0.21"/>
    <n v="0.21"/>
    <s v="Fechamento"/>
  </r>
  <r>
    <n v="103"/>
    <x v="101"/>
    <n v="5.0754999999999999"/>
    <x v="102"/>
    <n v="-0.01"/>
    <n v="-0.02"/>
    <n v="-0.28999999999999998"/>
    <n v="-0.31"/>
    <s v="Fechamento"/>
  </r>
  <r>
    <n v="104"/>
    <x v="102"/>
    <n v="5.0850999999999997"/>
    <x v="103"/>
    <n v="0.01"/>
    <n v="0.01"/>
    <n v="0.19"/>
    <n v="0.19"/>
    <s v="Fechamento"/>
  </r>
  <r>
    <n v="105"/>
    <x v="103"/>
    <n v="5.1393000000000004"/>
    <x v="104"/>
    <n v="0.05"/>
    <n v="0.05"/>
    <n v="1.07"/>
    <n v="1.07"/>
    <s v="Fechamento"/>
  </r>
  <r>
    <n v="106"/>
    <x v="104"/>
    <n v="5.1375000000000002"/>
    <x v="105"/>
    <n v="0"/>
    <n v="0"/>
    <n v="-0.04"/>
    <n v="-0.04"/>
    <s v="Fechamento"/>
  </r>
  <r>
    <n v="107"/>
    <x v="105"/>
    <n v="5.1182999999999996"/>
    <x v="106"/>
    <n v="-0.02"/>
    <n v="-0.02"/>
    <n v="-0.37"/>
    <n v="-0.38"/>
    <s v="Fechamento"/>
  </r>
  <r>
    <n v="108"/>
    <x v="106"/>
    <n v="5.2323000000000004"/>
    <x v="107"/>
    <n v="0.11"/>
    <n v="0.12"/>
    <n v="2.23"/>
    <n v="2.2599999999999998"/>
    <s v="Fechamento"/>
  </r>
  <r>
    <n v="109"/>
    <x v="107"/>
    <n v="5.2324999999999999"/>
    <x v="108"/>
    <n v="0"/>
    <n v="0"/>
    <n v="0"/>
    <n v="-0.01"/>
    <s v="Fechamento"/>
  </r>
  <r>
    <n v="110"/>
    <x v="108"/>
    <n v="5.2167000000000003"/>
    <x v="109"/>
    <n v="-0.02"/>
    <n v="-0.02"/>
    <n v="-0.3"/>
    <n v="-0.28999999999999998"/>
    <s v="Fechamento"/>
  </r>
  <r>
    <n v="111"/>
    <x v="109"/>
    <n v="5.2431999999999999"/>
    <x v="110"/>
    <n v="0.03"/>
    <n v="0.03"/>
    <n v="0.51"/>
    <n v="0.51"/>
    <s v="Fechamento"/>
  </r>
  <r>
    <n v="112"/>
    <x v="110"/>
    <n v="5.3262999999999998"/>
    <x v="111"/>
    <n v="0.08"/>
    <n v="0.08"/>
    <n v="1.58"/>
    <n v="1.55"/>
    <s v="Fechamento"/>
  </r>
  <r>
    <n v="113"/>
    <x v="111"/>
    <n v="5.3342999999999998"/>
    <x v="112"/>
    <n v="0.01"/>
    <n v="0.01"/>
    <n v="0.15"/>
    <n v="0.16"/>
    <s v="Fechamento"/>
  </r>
  <r>
    <n v="114"/>
    <x v="112"/>
    <n v="5.3108000000000004"/>
    <x v="113"/>
    <n v="-0.02"/>
    <n v="-0.02"/>
    <n v="-0.44"/>
    <n v="-0.46"/>
    <s v="Fechamento"/>
  </r>
  <r>
    <n v="115"/>
    <x v="113"/>
    <n v="5.375"/>
    <x v="114"/>
    <n v="0.06"/>
    <n v="0.06"/>
    <n v="1.21"/>
    <n v="1.22"/>
    <s v="Fechamento"/>
  </r>
  <r>
    <n v="116"/>
    <x v="114"/>
    <n v="5.4429999999999996"/>
    <x v="115"/>
    <n v="7.0000000000000007E-2"/>
    <n v="7.0000000000000007E-2"/>
    <n v="1.27"/>
    <n v="1.26"/>
    <s v="Fechamento"/>
  </r>
  <r>
    <n v="117"/>
    <x v="115"/>
    <n v="5.4291999999999998"/>
    <x v="116"/>
    <n v="-0.01"/>
    <n v="-0.01"/>
    <n v="-0.25"/>
    <n v="-0.24"/>
    <s v="Fechamento"/>
  </r>
  <r>
    <n v="118"/>
    <x v="116"/>
    <n v="5.4507000000000003"/>
    <x v="117"/>
    <n v="0.02"/>
    <n v="0.02"/>
    <n v="0.4"/>
    <n v="0.4"/>
    <s v="Fechamento"/>
  </r>
  <r>
    <n v="119"/>
    <x v="117"/>
    <n v="5.444"/>
    <x v="118"/>
    <n v="-0.01"/>
    <n v="-0.01"/>
    <n v="-0.12"/>
    <n v="-0.12"/>
    <s v="Fechamento"/>
  </r>
  <r>
    <n v="120"/>
    <x v="118"/>
    <n v="5.5164999999999997"/>
    <x v="119"/>
    <n v="7.0000000000000007E-2"/>
    <n v="7.0000000000000007E-2"/>
    <n v="1.33"/>
    <n v="1.31"/>
    <s v="Fechamento"/>
  </r>
  <r>
    <n v="121"/>
    <x v="119"/>
    <n v="5.5357000000000003"/>
    <x v="120"/>
    <n v="0.02"/>
    <n v="0.02"/>
    <n v="0.35"/>
    <n v="0.35"/>
    <s v="Fechamento"/>
  </r>
  <r>
    <n v="122"/>
    <x v="120"/>
    <n v="5.4970999999999997"/>
    <x v="121"/>
    <n v="-0.04"/>
    <n v="-0.04"/>
    <n v="-0.7"/>
    <n v="-0.67"/>
    <s v="Fechamento"/>
  </r>
  <r>
    <n v="123"/>
    <x v="121"/>
    <n v="5.4771999999999998"/>
    <x v="122"/>
    <n v="-0.02"/>
    <n v="-0.02"/>
    <n v="-0.36"/>
    <n v="-0.39"/>
    <s v="Fechamento"/>
  </r>
  <r>
    <n v="124"/>
    <x v="122"/>
    <n v="5.4842000000000004"/>
    <x v="123"/>
    <n v="0.01"/>
    <n v="0.01"/>
    <n v="0.13"/>
    <n v="0.16"/>
    <s v="Fechamento"/>
  </r>
  <r>
    <n v="125"/>
    <x v="123"/>
    <n v="5.5316000000000001"/>
    <x v="124"/>
    <n v="0.05"/>
    <n v="0.05"/>
    <n v="0.86"/>
    <n v="0.86"/>
    <s v="Fechamento"/>
  </r>
  <r>
    <n v="126"/>
    <x v="124"/>
    <n v="5.5312999999999999"/>
    <x v="125"/>
    <n v="0"/>
    <n v="0"/>
    <n v="-0.01"/>
    <n v="-0.03"/>
    <s v="Fechamento"/>
  </r>
  <r>
    <n v="127"/>
    <x v="125"/>
    <n v="5.5273000000000003"/>
    <x v="126"/>
    <n v="0"/>
    <n v="0"/>
    <n v="-7.0000000000000007E-2"/>
    <n v="-0.04"/>
    <s v="Fechamento"/>
  </r>
  <r>
    <n v="128"/>
    <x v="126"/>
    <n v="5.5260999999999996"/>
    <x v="127"/>
    <n v="0"/>
    <n v="0"/>
    <n v="-0.02"/>
    <n v="-0.05"/>
    <s v="Fechamento"/>
  </r>
  <r>
    <n v="129"/>
    <x v="127"/>
    <n v="5.4497999999999998"/>
    <x v="128"/>
    <n v="-0.08"/>
    <n v="-0.08"/>
    <n v="-1.38"/>
    <n v="-1.38"/>
    <s v="Fechamento"/>
  </r>
  <r>
    <n v="130"/>
    <x v="128"/>
    <n v="5.4047000000000001"/>
    <x v="129"/>
    <n v="-0.05"/>
    <n v="-0.05"/>
    <n v="-0.83"/>
    <n v="-0.83"/>
    <s v="Fechamento"/>
  </r>
  <r>
    <n v="131"/>
    <x v="129"/>
    <n v="5.3948"/>
    <x v="130"/>
    <n v="-0.01"/>
    <n v="-0.01"/>
    <n v="-0.18"/>
    <n v="-0.19"/>
    <s v="Fechamento"/>
  </r>
  <r>
    <n v="132"/>
    <x v="130"/>
    <n v="5.4504000000000001"/>
    <x v="131"/>
    <n v="0.06"/>
    <n v="0.06"/>
    <n v="1.03"/>
    <n v="1.03"/>
    <s v="Fechamento"/>
  </r>
  <r>
    <n v="133"/>
    <x v="131"/>
    <n v="5.4419000000000004"/>
    <x v="132"/>
    <n v="-0.01"/>
    <n v="-0.01"/>
    <n v="-0.16"/>
    <n v="-0.13"/>
    <s v="Fechamento"/>
  </r>
  <r>
    <n v="134"/>
    <x v="132"/>
    <n v="5.4725999999999999"/>
    <x v="133"/>
    <n v="0.03"/>
    <n v="0.03"/>
    <n v="0.56000000000000005"/>
    <n v="0.53"/>
    <s v="Fechamento"/>
  </r>
  <r>
    <n v="135"/>
    <x v="133"/>
    <n v="5.4505999999999997"/>
    <x v="134"/>
    <n v="-0.02"/>
    <n v="-0.02"/>
    <n v="-0.4"/>
    <n v="-0.37"/>
    <s v="Fechamento"/>
  </r>
  <r>
    <n v="136"/>
    <x v="134"/>
    <n v="5.4545000000000003"/>
    <x v="135"/>
    <n v="0"/>
    <n v="0"/>
    <n v="7.0000000000000007E-2"/>
    <n v="0.04"/>
    <s v="Fechamento"/>
  </r>
  <r>
    <n v="137"/>
    <x v="135"/>
    <n v="5.5198"/>
    <x v="136"/>
    <n v="7.0000000000000007E-2"/>
    <n v="7.0000000000000007E-2"/>
    <n v="1.2"/>
    <n v="1.21"/>
    <s v="Fechamento"/>
  </r>
  <r>
    <n v="138"/>
    <x v="136"/>
    <n v="5.5465999999999998"/>
    <x v="137"/>
    <n v="0.03"/>
    <n v="0.03"/>
    <n v="0.49"/>
    <n v="0.48"/>
    <s v="Fechamento"/>
  </r>
  <r>
    <n v="139"/>
    <x v="41"/>
    <n v="5.5856000000000003"/>
    <x v="138"/>
    <n v="0.04"/>
    <n v="0.04"/>
    <n v="0.7"/>
    <n v="0.7"/>
    <s v="Fechamento"/>
  </r>
  <r>
    <n v="140"/>
    <x v="137"/>
    <n v="5.5765000000000002"/>
    <x v="139"/>
    <n v="-0.01"/>
    <n v="-0.01"/>
    <n v="-0.16"/>
    <n v="-0.16"/>
    <s v="Fechamento"/>
  </r>
  <r>
    <n v="141"/>
    <x v="138"/>
    <n v="5.5292000000000003"/>
    <x v="140"/>
    <n v="-0.05"/>
    <n v="-0.05"/>
    <n v="-0.85"/>
    <n v="-0.85"/>
    <s v="Fechamento"/>
  </r>
  <r>
    <n v="142"/>
    <x v="139"/>
    <n v="5.4241000000000001"/>
    <x v="141"/>
    <n v="-0.11"/>
    <n v="-0.1"/>
    <n v="-1.9"/>
    <n v="-1.89"/>
    <s v="Fechamento"/>
  </r>
  <r>
    <n v="143"/>
    <x v="140"/>
    <n v="5.3642000000000003"/>
    <x v="142"/>
    <n v="-0.06"/>
    <n v="-0.06"/>
    <n v="-1.1000000000000001"/>
    <n v="-1.1100000000000001"/>
    <s v="Fechamento"/>
  </r>
  <r>
    <n v="144"/>
    <x v="141"/>
    <n v="5.2999000000000001"/>
    <x v="143"/>
    <n v="-0.06"/>
    <n v="-0.06"/>
    <n v="-1.2"/>
    <n v="-1.17"/>
    <s v="Fechamento"/>
  </r>
  <r>
    <n v="145"/>
    <x v="142"/>
    <n v="5.2937000000000003"/>
    <x v="144"/>
    <n v="-0.01"/>
    <n v="-0.01"/>
    <n v="-0.12"/>
    <n v="-0.15"/>
    <s v="Fechamento"/>
  </r>
  <r>
    <n v="146"/>
    <x v="143"/>
    <n v="5.2994000000000003"/>
    <x v="145"/>
    <n v="0.01"/>
    <n v="0.01"/>
    <n v="0.11"/>
    <n v="0.13"/>
    <s v="Fechamento"/>
  </r>
  <r>
    <n v="147"/>
    <x v="144"/>
    <n v="5.3365"/>
    <x v="146"/>
    <n v="0.04"/>
    <n v="0.04"/>
    <n v="0.7"/>
    <n v="0.68"/>
    <s v="Fechamento"/>
  </r>
  <r>
    <n v="148"/>
    <x v="145"/>
    <n v="5.3623000000000003"/>
    <x v="147"/>
    <n v="0.03"/>
    <n v="0.03"/>
    <n v="0.48"/>
    <n v="0.48"/>
    <s v="Fechamento"/>
  </r>
  <r>
    <n v="149"/>
    <x v="146"/>
    <n v="5.3582999999999998"/>
    <x v="148"/>
    <n v="0"/>
    <n v="0"/>
    <n v="-7.0000000000000007E-2"/>
    <n v="-7.0000000000000007E-2"/>
    <s v="Fechamento"/>
  </r>
  <r>
    <n v="150"/>
    <x v="147"/>
    <n v="5.3056999999999999"/>
    <x v="149"/>
    <n v="-0.05"/>
    <n v="-0.05"/>
    <n v="-0.98"/>
    <n v="-0.98"/>
    <s v="Fechamento"/>
  </r>
  <r>
    <n v="151"/>
    <x v="148"/>
    <n v="5.2308000000000003"/>
    <x v="150"/>
    <n v="-7.0000000000000007E-2"/>
    <n v="-7.0000000000000007E-2"/>
    <n v="-1.41"/>
    <n v="-1.38"/>
    <s v="Fechamento"/>
  </r>
  <r>
    <n v="152"/>
    <x v="149"/>
    <n v="5.2392000000000003"/>
    <x v="151"/>
    <n v="0.01"/>
    <n v="0.01"/>
    <n v="0.16"/>
    <n v="0.13"/>
    <s v="Fechamento"/>
  </r>
  <r>
    <n v="153"/>
    <x v="150"/>
    <n v="5.2183999999999999"/>
    <x v="152"/>
    <n v="-0.02"/>
    <n v="-0.02"/>
    <n v="-0.4"/>
    <n v="-0.38"/>
    <s v="Fechamento"/>
  </r>
  <r>
    <n v="154"/>
    <x v="151"/>
    <n v="5.2865000000000002"/>
    <x v="153"/>
    <n v="7.0000000000000007E-2"/>
    <n v="7.0000000000000007E-2"/>
    <n v="1.3"/>
    <n v="1.29"/>
    <s v="Fechamento"/>
  </r>
  <r>
    <n v="155"/>
    <x v="152"/>
    <n v="5.2328999999999999"/>
    <x v="154"/>
    <n v="-0.05"/>
    <n v="-0.05"/>
    <n v="-1.01"/>
    <n v="-0.99"/>
    <s v="Fechamento"/>
  </r>
  <r>
    <n v="156"/>
    <x v="153"/>
    <n v="5.1871999999999998"/>
    <x v="155"/>
    <n v="-0.05"/>
    <n v="-0.05"/>
    <n v="-0.87"/>
    <n v="-0.88"/>
    <s v="Fechamento"/>
  </r>
  <r>
    <n v="157"/>
    <x v="154"/>
    <n v="5.2233000000000001"/>
    <x v="156"/>
    <n v="0.04"/>
    <n v="0.04"/>
    <n v="0.7"/>
    <n v="0.71"/>
    <s v="Fechamento"/>
  </r>
  <r>
    <n v="158"/>
    <x v="155"/>
    <n v="5.2637999999999998"/>
    <x v="157"/>
    <n v="0.04"/>
    <n v="0.04"/>
    <n v="0.78"/>
    <n v="0.75"/>
    <s v="Fechamento"/>
  </r>
  <r>
    <n v="159"/>
    <x v="156"/>
    <n v="5.2367999999999997"/>
    <x v="158"/>
    <n v="-0.03"/>
    <n v="-0.03"/>
    <n v="-0.51"/>
    <n v="-0.52"/>
    <s v="Fechamento"/>
  </r>
  <r>
    <n v="160"/>
    <x v="157"/>
    <n v="5.2157999999999998"/>
    <x v="159"/>
    <n v="-0.02"/>
    <n v="-0.02"/>
    <n v="-0.4"/>
    <n v="-0.37"/>
    <s v="Fechamento"/>
  </r>
  <r>
    <n v="161"/>
    <x v="158"/>
    <n v="5.1372999999999998"/>
    <x v="160"/>
    <n v="-0.08"/>
    <n v="-0.08"/>
    <n v="-1.51"/>
    <n v="-1.51"/>
    <s v="Fechamento"/>
  </r>
  <r>
    <n v="162"/>
    <x v="159"/>
    <n v="5.0907999999999998"/>
    <x v="161"/>
    <n v="-0.05"/>
    <n v="-0.05"/>
    <n v="-0.91"/>
    <n v="-0.94"/>
    <s v="Fechamento"/>
  </r>
  <r>
    <n v="163"/>
    <x v="160"/>
    <n v="5.0891999999999999"/>
    <x v="162"/>
    <n v="0"/>
    <n v="0"/>
    <n v="-0.03"/>
    <n v="-0.01"/>
    <s v="Fechamento"/>
  </r>
  <r>
    <n v="164"/>
    <x v="161"/>
    <n v="5.0952999999999999"/>
    <x v="163"/>
    <n v="0.01"/>
    <n v="0.01"/>
    <n v="0.12"/>
    <n v="0.13"/>
    <s v="Fechamento"/>
  </r>
  <r>
    <n v="165"/>
    <x v="162"/>
    <n v="5.0903"/>
    <x v="164"/>
    <n v="0"/>
    <n v="-0.01"/>
    <n v="-0.1"/>
    <n v="-0.13"/>
    <s v="Fechamento"/>
  </r>
  <r>
    <n v="166"/>
    <x v="163"/>
    <n v="5.0427999999999997"/>
    <x v="165"/>
    <n v="-0.05"/>
    <n v="-0.05"/>
    <n v="-0.93"/>
    <n v="-0.91"/>
    <s v="Fechamento"/>
  </r>
  <r>
    <n v="167"/>
    <x v="164"/>
    <n v="5.0708000000000002"/>
    <x v="166"/>
    <n v="0.03"/>
    <n v="0.03"/>
    <n v="0.56000000000000005"/>
    <n v="0.55000000000000004"/>
    <s v="Fechamento"/>
  </r>
  <r>
    <n v="168"/>
    <x v="165"/>
    <n v="5.2126999999999999"/>
    <x v="167"/>
    <n v="0.14000000000000001"/>
    <n v="0.14000000000000001"/>
    <n v="2.8"/>
    <n v="2.78"/>
    <s v="Fechamento"/>
  </r>
  <r>
    <n v="169"/>
    <x v="166"/>
    <n v="5.1741999999999999"/>
    <x v="168"/>
    <n v="-0.04"/>
    <n v="-0.04"/>
    <n v="-0.74"/>
    <n v="-0.72"/>
    <s v="Fechamento"/>
  </r>
  <r>
    <n v="170"/>
    <x v="167"/>
    <n v="5.2043999999999997"/>
    <x v="169"/>
    <n v="0.03"/>
    <n v="0.03"/>
    <n v="0.57999999999999996"/>
    <n v="0.56000000000000005"/>
    <s v="Fechamento"/>
  </r>
  <r>
    <n v="171"/>
    <x v="168"/>
    <n v="5.1323999999999996"/>
    <x v="170"/>
    <n v="-7.0000000000000007E-2"/>
    <n v="-7.0000000000000007E-2"/>
    <n v="-1.38"/>
    <n v="-1.35"/>
    <s v="Fechamento"/>
  </r>
  <r>
    <n v="172"/>
    <x v="169"/>
    <n v="5.1783999999999999"/>
    <x v="171"/>
    <n v="0.05"/>
    <n v="0.04"/>
    <n v="0.9"/>
    <n v="0.87"/>
    <s v="Fechamento"/>
  </r>
  <r>
    <n v="173"/>
    <x v="170"/>
    <n v="5.1925999999999997"/>
    <x v="172"/>
    <n v="0.01"/>
    <n v="0.01"/>
    <n v="0.27"/>
    <n v="0.27"/>
    <s v="Fechamento"/>
  </r>
  <r>
    <n v="174"/>
    <x v="171"/>
    <n v="5.1871"/>
    <x v="173"/>
    <n v="-0.01"/>
    <n v="-0.01"/>
    <n v="-0.11"/>
    <n v="-0.11"/>
    <s v="Fechamento"/>
  </r>
  <r>
    <n v="175"/>
    <x v="172"/>
    <n v="5.1843000000000004"/>
    <x v="174"/>
    <n v="0"/>
    <n v="0"/>
    <n v="-0.05"/>
    <n v="-0.05"/>
    <s v="Fechamento"/>
  </r>
  <r>
    <n v="176"/>
    <x v="173"/>
    <n v="5.1788999999999996"/>
    <x v="175"/>
    <n v="-0.01"/>
    <n v="-0.01"/>
    <n v="-0.1"/>
    <n v="-0.11"/>
    <s v="Fechamento"/>
  </r>
  <r>
    <n v="177"/>
    <x v="174"/>
    <n v="5.1748000000000003"/>
    <x v="176"/>
    <n v="0"/>
    <n v="0"/>
    <n v="-0.08"/>
    <n v="-0.06"/>
    <s v="Fechamento"/>
  </r>
  <r>
    <n v="178"/>
    <x v="175"/>
    <n v="5.2173999999999996"/>
    <x v="177"/>
    <n v="0.04"/>
    <n v="0.04"/>
    <n v="0.82"/>
    <n v="0.8"/>
    <s v="Fechamento"/>
  </r>
  <r>
    <n v="179"/>
    <x v="176"/>
    <n v="5.2945000000000002"/>
    <x v="178"/>
    <n v="0.08"/>
    <n v="0.08"/>
    <n v="1.48"/>
    <n v="1.5"/>
    <s v="Fechamento"/>
  </r>
  <r>
    <n v="180"/>
    <x v="177"/>
    <n v="5.2393000000000001"/>
    <x v="179"/>
    <n v="-0.06"/>
    <n v="-0.06"/>
    <n v="-1.04"/>
    <n v="-1.06"/>
    <s v="Fechamento"/>
  </r>
  <r>
    <n v="181"/>
    <x v="178"/>
    <n v="5.1673999999999998"/>
    <x v="180"/>
    <n v="-7.0000000000000007E-2"/>
    <n v="-7.0000000000000007E-2"/>
    <n v="-1.37"/>
    <n v="-1.34"/>
    <s v="Fechamento"/>
  </r>
  <r>
    <n v="182"/>
    <x v="179"/>
    <n v="5.1071999999999997"/>
    <x v="181"/>
    <n v="-0.06"/>
    <n v="-0.06"/>
    <n v="-1.1599999999999999"/>
    <n v="-1.18"/>
    <s v="Fechamento"/>
  </r>
  <r>
    <n v="183"/>
    <x v="180"/>
    <n v="5.0861000000000001"/>
    <x v="182"/>
    <n v="-0.02"/>
    <n v="-0.02"/>
    <n v="-0.41"/>
    <n v="-0.43"/>
    <s v="Fechamento"/>
  </r>
  <r>
    <n v="184"/>
    <x v="181"/>
    <n v="5.0789"/>
    <x v="183"/>
    <n v="-0.01"/>
    <n v="-0.01"/>
    <n v="-0.14000000000000001"/>
    <n v="-0.12"/>
    <s v="Fechamento"/>
  </r>
  <r>
    <n v="185"/>
    <x v="182"/>
    <n v="5.1524000000000001"/>
    <x v="184"/>
    <n v="7.0000000000000007E-2"/>
    <n v="7.0000000000000007E-2"/>
    <n v="1.45"/>
    <n v="1.45"/>
    <s v="Fechamento"/>
  </r>
  <r>
    <n v="186"/>
    <x v="183"/>
    <n v="5.1448"/>
    <x v="185"/>
    <n v="-0.01"/>
    <n v="-0.01"/>
    <n v="-0.15"/>
    <n v="-0.14000000000000001"/>
    <s v="Fechamento"/>
  </r>
  <r>
    <n v="187"/>
    <x v="184"/>
    <n v="5.1890000000000001"/>
    <x v="186"/>
    <n v="0.04"/>
    <n v="0.04"/>
    <n v="0.86"/>
    <n v="0.83"/>
    <s v="Fechamento"/>
  </r>
  <r>
    <n v="188"/>
    <x v="185"/>
    <n v="5.2702999999999998"/>
    <x v="187"/>
    <n v="0.08"/>
    <n v="0.08"/>
    <n v="1.57"/>
    <n v="1.57"/>
    <s v="Fechamento"/>
  </r>
  <r>
    <n v="189"/>
    <x v="186"/>
    <n v="5.2904"/>
    <x v="188"/>
    <n v="0.02"/>
    <n v="0.02"/>
    <n v="0.38"/>
    <n v="0.4"/>
    <s v="Fechamento"/>
  </r>
  <r>
    <n v="190"/>
    <x v="187"/>
    <n v="5.1013999999999999"/>
    <x v="189"/>
    <n v="-0.19"/>
    <n v="-0.19"/>
    <n v="-3.57"/>
    <n v="-3.59"/>
    <s v="Fechamento"/>
  </r>
  <r>
    <n v="191"/>
    <x v="188"/>
    <n v="5.1292999999999997"/>
    <x v="190"/>
    <n v="0.03"/>
    <n v="0.03"/>
    <n v="0.55000000000000004"/>
    <n v="0.56999999999999995"/>
    <s v="Fechamento"/>
  </r>
  <r>
    <n v="192"/>
    <x v="189"/>
    <n v="5.1456"/>
    <x v="191"/>
    <n v="0.02"/>
    <n v="0.02"/>
    <n v="0.32"/>
    <n v="0.3"/>
    <s v="Fechamento"/>
  </r>
  <r>
    <n v="193"/>
    <x v="190"/>
    <n v="5.1005000000000003"/>
    <x v="192"/>
    <n v="-0.05"/>
    <n v="-0.05"/>
    <n v="-0.88"/>
    <n v="-0.88"/>
    <s v="Fechamento"/>
  </r>
  <r>
    <n v="194"/>
    <x v="191"/>
    <n v="5.1102999999999996"/>
    <x v="193"/>
    <n v="0.01"/>
    <n v="0.01"/>
    <n v="0.19"/>
    <n v="0.19"/>
    <s v="Fechamento"/>
  </r>
  <r>
    <n v="195"/>
    <x v="192"/>
    <n v="5.0408999999999997"/>
    <x v="194"/>
    <n v="-7.0000000000000007E-2"/>
    <n v="-7.0000000000000007E-2"/>
    <n v="-1.36"/>
    <n v="-1.36"/>
    <s v="Fechamento"/>
  </r>
  <r>
    <n v="196"/>
    <x v="193"/>
    <n v="5.0803000000000003"/>
    <x v="195"/>
    <n v="0.04"/>
    <n v="0.04"/>
    <n v="0.78"/>
    <n v="0.78"/>
    <s v="Fechamento"/>
  </r>
  <r>
    <n v="197"/>
    <x v="194"/>
    <n v="5.1860999999999997"/>
    <x v="196"/>
    <n v="0.11"/>
    <n v="0.11"/>
    <n v="2.08"/>
    <n v="2.09"/>
    <s v="Fechamento"/>
  </r>
  <r>
    <n v="198"/>
    <x v="195"/>
    <n v="5.1451000000000002"/>
    <x v="197"/>
    <n v="-0.04"/>
    <n v="-0.04"/>
    <n v="-0.79"/>
    <n v="-0.79"/>
    <s v="Fechamento"/>
  </r>
  <r>
    <n v="199"/>
    <x v="196"/>
    <n v="5.1885000000000003"/>
    <x v="198"/>
    <n v="0.04"/>
    <n v="0.04"/>
    <n v="0.84"/>
    <n v="0.88"/>
    <s v="Fechamento"/>
  </r>
  <r>
    <n v="200"/>
    <x v="197"/>
    <n v="5.1870000000000003"/>
    <x v="199"/>
    <n v="0"/>
    <n v="0"/>
    <n v="-0.03"/>
    <n v="-0.03"/>
    <s v="Fechamento"/>
  </r>
  <r>
    <n v="201"/>
    <x v="198"/>
    <n v="5.1651999999999996"/>
    <x v="200"/>
    <n v="-0.02"/>
    <n v="-0.02"/>
    <n v="-0.42"/>
    <n v="-0.45"/>
    <s v="Fechamento"/>
  </r>
  <r>
    <n v="202"/>
    <x v="199"/>
    <n v="5.1262999999999996"/>
    <x v="201"/>
    <n v="-0.04"/>
    <n v="-0.04"/>
    <n v="-0.75"/>
    <n v="-0.75"/>
    <s v="Fechamento"/>
  </r>
  <r>
    <n v="203"/>
    <x v="200"/>
    <n v="5.1186999999999996"/>
    <x v="202"/>
    <n v="-0.01"/>
    <n v="-0.01"/>
    <n v="-0.15"/>
    <n v="-0.15"/>
    <s v="Fechamento"/>
  </r>
  <r>
    <n v="204"/>
    <x v="201"/>
    <n v="5.2069000000000001"/>
    <x v="203"/>
    <n v="0.09"/>
    <n v="0.09"/>
    <n v="1.72"/>
    <n v="1.76"/>
    <s v="Fechamento"/>
  </r>
  <r>
    <n v="205"/>
    <x v="202"/>
    <n v="5.2878999999999996"/>
    <x v="204"/>
    <n v="0.08"/>
    <n v="0.08"/>
    <n v="1.56"/>
    <n v="1.52"/>
    <s v="Fechamento"/>
  </r>
  <r>
    <n v="206"/>
    <x v="203"/>
    <n v="5.3615000000000004"/>
    <x v="205"/>
    <n v="7.0000000000000007E-2"/>
    <n v="0.08"/>
    <n v="1.39"/>
    <n v="1.42"/>
    <s v="Fechamento"/>
  </r>
  <r>
    <n v="207"/>
    <x v="204"/>
    <n v="5.2923"/>
    <x v="206"/>
    <n v="-7.0000000000000007E-2"/>
    <n v="-7.0000000000000007E-2"/>
    <n v="-1.29"/>
    <n v="-1.3"/>
    <s v="Fechamento"/>
  </r>
  <r>
    <n v="208"/>
    <x v="205"/>
    <n v="5.3112000000000004"/>
    <x v="207"/>
    <n v="0.02"/>
    <n v="0.02"/>
    <n v="0.36"/>
    <n v="0.34"/>
    <s v="Fechamento"/>
  </r>
  <r>
    <n v="209"/>
    <x v="206"/>
    <n v="5.1976000000000004"/>
    <x v="208"/>
    <n v="-0.11"/>
    <n v="-0.11"/>
    <n v="-2.14"/>
    <n v="-2.14"/>
    <s v="Fechamento"/>
  </r>
  <r>
    <n v="210"/>
    <x v="102"/>
    <n v="5.0850999999999997"/>
    <x v="209"/>
    <n v="-0.11"/>
    <n v="-0.11"/>
    <n v="-2.16"/>
    <n v="-2.16"/>
    <s v="Fechamento"/>
  </r>
  <r>
    <n v="211"/>
    <x v="207"/>
    <n v="5.0122"/>
    <x v="210"/>
    <n v="-7.0000000000000007E-2"/>
    <n v="-7.0000000000000007E-2"/>
    <n v="-1.43"/>
    <n v="-1.44"/>
    <s v="Fechamento"/>
  </r>
  <r>
    <n v="212"/>
    <x v="208"/>
    <n v="4.9840999999999998"/>
    <x v="211"/>
    <n v="-0.03"/>
    <n v="-0.03"/>
    <n v="-0.56000000000000005"/>
    <n v="-0.56000000000000005"/>
    <s v="Fechamento"/>
  </r>
  <r>
    <n v="213"/>
    <x v="209"/>
    <n v="5.0900999999999996"/>
    <x v="212"/>
    <n v="0.11"/>
    <n v="0.11"/>
    <n v="2.13"/>
    <n v="2.13"/>
    <s v="Fechamento"/>
  </r>
  <r>
    <n v="214"/>
    <x v="210"/>
    <n v="5.2100999999999997"/>
    <x v="213"/>
    <n v="0.12"/>
    <n v="0.12"/>
    <n v="2.36"/>
    <n v="2.36"/>
    <s v="Fechamento"/>
  </r>
  <r>
    <n v="215"/>
    <x v="169"/>
    <n v="5.1783999999999999"/>
    <x v="214"/>
    <n v="-0.03"/>
    <n v="-0.03"/>
    <n v="-0.61"/>
    <n v="-0.61"/>
    <s v="Fechamento"/>
  </r>
  <r>
    <n v="216"/>
    <x v="211"/>
    <n v="5.4029999999999996"/>
    <x v="215"/>
    <n v="0.22"/>
    <n v="0.23"/>
    <n v="4.34"/>
    <n v="4.3499999999999996"/>
    <s v="Fechamento"/>
  </r>
  <r>
    <n v="217"/>
    <x v="212"/>
    <n v="5.4790999999999999"/>
    <x v="216"/>
    <n v="0.08"/>
    <n v="0.08"/>
    <n v="1.41"/>
    <n v="1.42"/>
    <s v="Fechamento"/>
  </r>
  <r>
    <n v="218"/>
    <x v="213"/>
    <n v="5.4772999999999996"/>
    <x v="217"/>
    <n v="0"/>
    <n v="0"/>
    <n v="-0.03"/>
    <n v="-0.05"/>
    <s v="Fechamento"/>
  </r>
  <r>
    <n v="219"/>
    <x v="214"/>
    <n v="5.5364000000000004"/>
    <x v="218"/>
    <n v="0.06"/>
    <n v="0.06"/>
    <n v="1.08"/>
    <n v="1.08"/>
    <s v="Fechamento"/>
  </r>
  <r>
    <n v="220"/>
    <x v="215"/>
    <n v="5.6459000000000001"/>
    <x v="219"/>
    <n v="0.11"/>
    <n v="0.11"/>
    <n v="1.98"/>
    <n v="2.0099999999999998"/>
    <s v="Fechamento"/>
  </r>
  <r>
    <n v="221"/>
    <x v="216"/>
    <n v="5.5429000000000004"/>
    <x v="220"/>
    <n v="-0.1"/>
    <n v="-0.1"/>
    <n v="-1.82"/>
    <n v="-1.85"/>
    <s v="Fechamento"/>
  </r>
  <r>
    <n v="222"/>
    <x v="217"/>
    <n v="5.4547999999999996"/>
    <x v="221"/>
    <n v="-0.09"/>
    <n v="-0.09"/>
    <n v="-1.59"/>
    <n v="-1.59"/>
    <s v="Fechamento"/>
  </r>
  <r>
    <n v="223"/>
    <x v="218"/>
    <n v="5.4859"/>
    <x v="222"/>
    <n v="0.03"/>
    <n v="0.03"/>
    <n v="0.56999999999999995"/>
    <n v="0.59"/>
    <s v="Fechamento"/>
  </r>
  <r>
    <n v="224"/>
    <x v="219"/>
    <n v="5.5974000000000004"/>
    <x v="223"/>
    <n v="0.11"/>
    <n v="0.11"/>
    <n v="2.0299999999999998"/>
    <n v="2.0099999999999998"/>
    <s v="Fechamento"/>
  </r>
  <r>
    <n v="225"/>
    <x v="220"/>
    <n v="5.5339"/>
    <x v="224"/>
    <n v="-0.06"/>
    <n v="-0.06"/>
    <n v="-1.1299999999999999"/>
    <n v="-1.1399999999999999"/>
    <s v="Fechamento"/>
  </r>
  <r>
    <n v="226"/>
    <x v="221"/>
    <n v="5.5696000000000003"/>
    <x v="225"/>
    <n v="0.04"/>
    <n v="0.04"/>
    <n v="0.65"/>
    <n v="0.65"/>
    <s v="Fechamento"/>
  </r>
  <r>
    <n v="227"/>
    <x v="222"/>
    <n v="5.5937000000000001"/>
    <x v="226"/>
    <n v="0.02"/>
    <n v="0.03"/>
    <n v="0.43"/>
    <n v="0.46"/>
    <s v="Fechamento"/>
  </r>
  <r>
    <n v="228"/>
    <x v="223"/>
    <n v="5.4981"/>
    <x v="227"/>
    <n v="-0.1"/>
    <n v="-0.1"/>
    <n v="-1.71"/>
    <n v="-1.74"/>
    <s v="Fechamento"/>
  </r>
  <r>
    <n v="229"/>
    <x v="224"/>
    <n v="5.4528999999999996"/>
    <x v="228"/>
    <n v="-0.05"/>
    <n v="-0.04"/>
    <n v="-0.82"/>
    <n v="-0.81"/>
    <s v="Fechamento"/>
  </r>
  <r>
    <n v="230"/>
    <x v="225"/>
    <n v="5.4482999999999997"/>
    <x v="229"/>
    <n v="0"/>
    <n v="0"/>
    <n v="-0.08"/>
    <n v="-0.06"/>
    <s v="Fechamento"/>
  </r>
  <r>
    <n v="231"/>
    <x v="226"/>
    <n v="5.4447999999999999"/>
    <x v="230"/>
    <n v="0"/>
    <n v="-0.01"/>
    <n v="-0.06"/>
    <n v="-0.09"/>
    <s v="Fechamento"/>
  </r>
  <r>
    <n v="232"/>
    <x v="227"/>
    <n v="5.5228999999999999"/>
    <x v="231"/>
    <n v="0.08"/>
    <n v="0.08"/>
    <n v="1.43"/>
    <n v="1.43"/>
    <s v="Fechamento"/>
  </r>
  <r>
    <n v="233"/>
    <x v="228"/>
    <n v="5.5015999999999998"/>
    <x v="232"/>
    <n v="-0.02"/>
    <n v="-0.02"/>
    <n v="-0.39"/>
    <n v="-0.36"/>
    <s v="Fechamento"/>
  </r>
  <r>
    <n v="234"/>
    <x v="229"/>
    <n v="5.4850000000000003"/>
    <x v="233"/>
    <n v="-0.02"/>
    <n v="-0.02"/>
    <n v="-0.3"/>
    <n v="-0.33"/>
    <s v="Fechamento"/>
  </r>
  <r>
    <n v="235"/>
    <x v="230"/>
    <n v="5.4939999999999998"/>
    <x v="234"/>
    <n v="0.01"/>
    <n v="0.01"/>
    <n v="0.16"/>
    <n v="0.16"/>
    <s v="Fechamento"/>
  </r>
  <r>
    <n v="236"/>
    <x v="231"/>
    <n v="5.5225"/>
    <x v="235"/>
    <n v="0.03"/>
    <n v="0.03"/>
    <n v="0.52"/>
    <n v="0.54"/>
    <s v="Fechamento"/>
  </r>
  <r>
    <n v="237"/>
    <x v="232"/>
    <n v="5.5846999999999998"/>
    <x v="236"/>
    <n v="0.06"/>
    <n v="0.06"/>
    <n v="1.1299999999999999"/>
    <n v="1.1299999999999999"/>
    <s v="Fechamento"/>
  </r>
  <r>
    <n v="238"/>
    <x v="233"/>
    <n v="5.6040000000000001"/>
    <x v="237"/>
    <n v="0.02"/>
    <n v="0.02"/>
    <n v="0.35"/>
    <n v="0.32"/>
    <s v="Fechamento"/>
  </r>
  <r>
    <n v="239"/>
    <x v="234"/>
    <n v="5.6871999999999998"/>
    <x v="238"/>
    <n v="0.08"/>
    <n v="0.08"/>
    <n v="1.48"/>
    <n v="1.49"/>
    <s v="Fechamento"/>
  </r>
  <r>
    <n v="240"/>
    <x v="235"/>
    <n v="5.6645000000000003"/>
    <x v="239"/>
    <n v="-0.02"/>
    <n v="-0.02"/>
    <n v="-0.4"/>
    <n v="-0.39"/>
    <s v="Fechamento"/>
  </r>
  <r>
    <n v="241"/>
    <x v="236"/>
    <n v="5.6063999999999998"/>
    <x v="240"/>
    <n v="-0.06"/>
    <n v="-0.06"/>
    <n v="-1.03"/>
    <n v="-1"/>
    <s v="Fechamento"/>
  </r>
  <r>
    <n v="242"/>
    <x v="237"/>
    <n v="5.6254"/>
    <x v="241"/>
    <n v="0.02"/>
    <n v="0.02"/>
    <n v="0.34"/>
    <n v="0.31"/>
    <s v="Fechamento"/>
  </r>
  <r>
    <n v="243"/>
    <x v="238"/>
    <n v="5.5792999999999999"/>
    <x v="242"/>
    <n v="-0.05"/>
    <n v="-0.05"/>
    <n v="-0.82"/>
    <n v="-0.82"/>
    <s v="Fechamento"/>
  </r>
  <r>
    <n v="244"/>
    <x v="239"/>
    <n v="5.5236000000000001"/>
    <x v="243"/>
    <n v="-0.06"/>
    <n v="-0.05"/>
    <n v="-1"/>
    <n v="-0.98"/>
    <s v="Fechamento"/>
  </r>
  <r>
    <n v="245"/>
    <x v="240"/>
    <n v="5.5004"/>
    <x v="244"/>
    <n v="-0.02"/>
    <n v="-0.02"/>
    <n v="-0.42"/>
    <n v="-0.44"/>
    <s v="Fechamento"/>
  </r>
  <r>
    <n v="246"/>
    <x v="241"/>
    <n v="5.4608999999999996"/>
    <x v="245"/>
    <n v="-0.04"/>
    <n v="-0.04"/>
    <n v="-0.72"/>
    <n v="-0.72"/>
    <s v="Fechamento"/>
  </r>
  <r>
    <n v="247"/>
    <x v="242"/>
    <n v="5.5145"/>
    <x v="246"/>
    <n v="0.05"/>
    <n v="0.05"/>
    <n v="0.98"/>
    <n v="0.98"/>
    <s v="Fechamento"/>
  </r>
  <r>
    <n v="248"/>
    <x v="243"/>
    <n v="5.6271000000000004"/>
    <x v="247"/>
    <n v="0.11"/>
    <n v="0.11"/>
    <n v="2.04"/>
    <n v="2.04"/>
    <s v="Fechamento"/>
  </r>
  <r>
    <n v="249"/>
    <x v="244"/>
    <n v="5.6006"/>
    <x v="248"/>
    <n v="-0.03"/>
    <n v="-0.02"/>
    <n v="-0.47"/>
    <n v="-0.44"/>
    <s v="Fechamento"/>
  </r>
  <r>
    <n v="250"/>
    <x v="245"/>
    <n v="5.5667999999999997"/>
    <x v="249"/>
    <n v="-0.03"/>
    <n v="-0.04"/>
    <n v="-0.6"/>
    <n v="-0.63"/>
    <s v="Fechamento"/>
  </r>
  <r>
    <n v="251"/>
    <x v="246"/>
    <n v="5.5693999999999999"/>
    <x v="250"/>
    <n v="0"/>
    <n v="0"/>
    <n v="0.05"/>
    <n v="0.05"/>
    <s v="Fechamento"/>
  </r>
  <r>
    <n v="252"/>
    <x v="247"/>
    <n v="5.6978999999999997"/>
    <x v="251"/>
    <n v="0.13"/>
    <n v="0.13"/>
    <n v="2.31"/>
    <n v="2.31"/>
    <s v="Fechamento"/>
  </r>
  <r>
    <n v="253"/>
    <x v="248"/>
    <n v="5.6742999999999997"/>
    <x v="252"/>
    <n v="-0.02"/>
    <n v="-0.02"/>
    <n v="-0.41"/>
    <n v="-0.4"/>
    <s v="Fechamento"/>
  </r>
  <r>
    <n v="254"/>
    <x v="249"/>
    <n v="5.7747999999999999"/>
    <x v="253"/>
    <n v="0.1"/>
    <n v="0.1"/>
    <n v="1.77"/>
    <n v="1.78"/>
    <s v="Fechamento"/>
  </r>
  <r>
    <n v="255"/>
    <x v="250"/>
    <n v="5.6840999999999999"/>
    <x v="254"/>
    <n v="-0.09"/>
    <n v="-0.09"/>
    <n v="-1.57"/>
    <n v="-1.6"/>
    <s v="Fechamento"/>
  </r>
  <r>
    <n v="256"/>
    <x v="251"/>
    <n v="5.6047000000000002"/>
    <x v="255"/>
    <n v="-0.08"/>
    <n v="-0.08"/>
    <n v="-1.4"/>
    <n v="-1.38"/>
    <s v="Fechamento"/>
  </r>
  <r>
    <n v="257"/>
    <x v="252"/>
    <n v="5.6897000000000002"/>
    <x v="256"/>
    <n v="0.08"/>
    <n v="0.09"/>
    <n v="1.52"/>
    <n v="1.52"/>
    <s v="Fechamento"/>
  </r>
  <r>
    <n v="258"/>
    <x v="253"/>
    <n v="5.6208999999999998"/>
    <x v="257"/>
    <n v="-7.0000000000000007E-2"/>
    <n v="-7.0000000000000007E-2"/>
    <n v="-1.21"/>
    <n v="-1.21"/>
    <s v="Fechamento"/>
  </r>
  <r>
    <n v="259"/>
    <x v="254"/>
    <n v="5.5957999999999997"/>
    <x v="258"/>
    <n v="-0.03"/>
    <n v="-0.03"/>
    <n v="-0.45"/>
    <n v="-0.48"/>
    <s v="Fechamento"/>
  </r>
  <r>
    <n v="260"/>
    <x v="255"/>
    <n v="5.5552999999999999"/>
    <x v="259"/>
    <n v="-0.04"/>
    <n v="-0.04"/>
    <n v="-0.72"/>
    <n v="-0.71"/>
    <s v="Fechamento"/>
  </r>
  <r>
    <n v="261"/>
    <x v="256"/>
    <n v="5.5400999999999998"/>
    <x v="260"/>
    <n v="-0.02"/>
    <n v="-0.02"/>
    <n v="-0.27"/>
    <n v="-0.31"/>
    <s v="Fechamento"/>
  </r>
  <r>
    <n v="262"/>
    <x v="257"/>
    <n v="5.5342000000000002"/>
    <x v="261"/>
    <n v="-0.01"/>
    <n v="0"/>
    <n v="-0.11"/>
    <n v="-7.0000000000000007E-2"/>
    <s v="Fechamento"/>
  </r>
  <r>
    <n v="263"/>
    <x v="258"/>
    <n v="5.5315000000000003"/>
    <x v="262"/>
    <n v="0"/>
    <n v="0"/>
    <n v="-0.05"/>
    <n v="-7.0000000000000007E-2"/>
    <s v="Fechamento"/>
  </r>
  <r>
    <n v="264"/>
    <x v="118"/>
    <n v="5.516"/>
    <x v="263"/>
    <n v="-0.02"/>
    <n v="-0.02"/>
    <n v="-0.28000000000000003"/>
    <n v="-0.27"/>
    <s v="Fechamento"/>
  </r>
  <r>
    <n v="265"/>
    <x v="259"/>
    <n v="5.6269"/>
    <x v="264"/>
    <n v="0.11"/>
    <n v="0.11"/>
    <n v="2.0099999999999998"/>
    <n v="2.02"/>
    <s v="Fechamento"/>
  </r>
  <r>
    <n v="266"/>
    <x v="260"/>
    <n v="5.6322000000000001"/>
    <x v="265"/>
    <n v="0.01"/>
    <n v="0"/>
    <n v="0.09"/>
    <n v="7.0000000000000007E-2"/>
    <s v="Fechamento"/>
  </r>
  <r>
    <n v="267"/>
    <x v="261"/>
    <n v="5.6417999999999999"/>
    <x v="266"/>
    <n v="0.01"/>
    <n v="0.01"/>
    <n v="0.17"/>
    <n v="0.17"/>
    <s v="Fechamento"/>
  </r>
  <r>
    <n v="268"/>
    <x v="262"/>
    <n v="5.6234999999999999"/>
    <x v="267"/>
    <n v="-0.02"/>
    <n v="-0.02"/>
    <n v="-0.32"/>
    <n v="-0.32"/>
    <s v="Fechamento"/>
  </r>
  <r>
    <n v="269"/>
    <x v="263"/>
    <n v="5.5651000000000002"/>
    <x v="268"/>
    <n v="-0.06"/>
    <n v="-0.06"/>
    <n v="-1.04"/>
    <n v="-1.03"/>
    <s v="Fechamento"/>
  </r>
  <r>
    <n v="270"/>
    <x v="264"/>
    <n v="5.5317999999999996"/>
    <x v="269"/>
    <n v="-0.03"/>
    <n v="-0.03"/>
    <n v="-0.6"/>
    <n v="-0.61"/>
    <s v="Fechamento"/>
  </r>
  <r>
    <n v="271"/>
    <x v="265"/>
    <n v="5.5030999999999999"/>
    <x v="270"/>
    <n v="-0.03"/>
    <n v="-0.03"/>
    <n v="-0.52"/>
    <n v="-0.52"/>
    <s v="Fechamento"/>
  </r>
  <r>
    <n v="272"/>
    <x v="266"/>
    <n v="5.5407999999999999"/>
    <x v="271"/>
    <n v="0.04"/>
    <n v="0.04"/>
    <n v="0.69"/>
    <n v="0.68"/>
    <s v="Fechamento"/>
  </r>
  <r>
    <n v="273"/>
    <x v="267"/>
    <n v="5.5388999999999999"/>
    <x v="272"/>
    <n v="0"/>
    <n v="0"/>
    <n v="-0.03"/>
    <n v="-0.03"/>
    <s v="Fechamento"/>
  </r>
  <r>
    <n v="274"/>
    <x v="268"/>
    <n v="5.5392000000000001"/>
    <x v="273"/>
    <n v="0"/>
    <n v="0"/>
    <n v="0.01"/>
    <n v="0"/>
    <s v="Fechamento"/>
  </r>
  <r>
    <n v="275"/>
    <x v="269"/>
    <n v="5.4581999999999997"/>
    <x v="274"/>
    <n v="-0.08"/>
    <n v="-0.08"/>
    <n v="-1.46"/>
    <n v="-1.44"/>
    <s v="Fechamento"/>
  </r>
  <r>
    <n v="276"/>
    <x v="270"/>
    <n v="5.5419"/>
    <x v="275"/>
    <n v="0.08"/>
    <n v="0.08"/>
    <n v="1.53"/>
    <n v="1.51"/>
    <s v="Fechamento"/>
  </r>
  <r>
    <n v="277"/>
    <x v="271"/>
    <n v="5.5556999999999999"/>
    <x v="276"/>
    <n v="0.01"/>
    <n v="0.01"/>
    <n v="0.25"/>
    <n v="0.25"/>
    <s v="Fechamento"/>
  </r>
  <r>
    <n v="278"/>
    <x v="272"/>
    <n v="5.5271999999999997"/>
    <x v="277"/>
    <n v="-0.03"/>
    <n v="-0.03"/>
    <n v="-0.51"/>
    <n v="-0.48"/>
    <s v="Fechamento"/>
  </r>
  <r>
    <n v="279"/>
    <x v="273"/>
    <n v="5.5814000000000004"/>
    <x v="278"/>
    <n v="0.05"/>
    <n v="0.05"/>
    <n v="0.98"/>
    <n v="0.95"/>
    <s v="Fechamento"/>
  </r>
  <r>
    <n v="280"/>
    <x v="49"/>
    <n v="5.6317000000000004"/>
    <x v="279"/>
    <n v="0.05"/>
    <n v="0.05"/>
    <n v="0.9"/>
    <n v="0.9"/>
    <s v="Fechamento"/>
  </r>
  <r>
    <n v="281"/>
    <x v="274"/>
    <n v="5.6082000000000001"/>
    <x v="280"/>
    <n v="-0.02"/>
    <n v="-0.02"/>
    <n v="-0.42"/>
    <n v="-0.39"/>
    <s v="Fechamento"/>
  </r>
  <r>
    <n v="282"/>
    <x v="275"/>
    <n v="5.5571000000000002"/>
    <x v="281"/>
    <n v="-0.05"/>
    <n v="-0.05"/>
    <n v="-0.91"/>
    <n v="-0.92"/>
    <s v="Fechamento"/>
  </r>
  <r>
    <n v="283"/>
    <x v="276"/>
    <n v="5.5205000000000002"/>
    <x v="282"/>
    <n v="-0.04"/>
    <n v="-0.04"/>
    <n v="-0.66"/>
    <n v="-0.68"/>
    <s v="Fechamento"/>
  </r>
  <r>
    <n v="284"/>
    <x v="277"/>
    <n v="5.5785"/>
    <x v="283"/>
    <n v="0.06"/>
    <n v="0.06"/>
    <n v="1.05"/>
    <n v="1.05"/>
    <s v="Fechamento"/>
  </r>
  <r>
    <n v="285"/>
    <x v="278"/>
    <n v="5.5971000000000002"/>
    <x v="284"/>
    <n v="0.02"/>
    <n v="0.02"/>
    <n v="0.33"/>
    <n v="0.33"/>
    <s v="Fechamento"/>
  </r>
  <r>
    <n v="286"/>
    <x v="136"/>
    <n v="5.5465999999999998"/>
    <x v="285"/>
    <n v="-0.05"/>
    <n v="-0.05"/>
    <n v="-0.9"/>
    <n v="-0.9"/>
    <s v="Fechamento"/>
  </r>
  <r>
    <n v="287"/>
    <x v="279"/>
    <n v="5.4978999999999996"/>
    <x v="286"/>
    <n v="-0.05"/>
    <n v="-0.05"/>
    <n v="-0.88"/>
    <n v="-0.88"/>
    <s v="Fechamento"/>
  </r>
  <r>
    <n v="288"/>
    <x v="280"/>
    <n v="5.4405000000000001"/>
    <x v="287"/>
    <n v="-0.06"/>
    <n v="-0.06"/>
    <n v="-1.04"/>
    <n v="-1.04"/>
    <s v="Fechamento"/>
  </r>
  <r>
    <n v="289"/>
    <x v="281"/>
    <n v="5.4607999999999999"/>
    <x v="288"/>
    <n v="0.02"/>
    <n v="0.02"/>
    <n v="0.37"/>
    <n v="0.37"/>
    <s v="Fechamento"/>
  </r>
  <r>
    <n v="290"/>
    <x v="282"/>
    <n v="5.5092999999999996"/>
    <x v="289"/>
    <n v="0.05"/>
    <n v="0.05"/>
    <n v="0.89"/>
    <n v="0.89"/>
    <s v="Fechamento"/>
  </r>
  <r>
    <n v="291"/>
    <x v="283"/>
    <n v="5.5244"/>
    <x v="290"/>
    <n v="0.02"/>
    <n v="0.02"/>
    <n v="0.27"/>
    <n v="0.27"/>
    <s v="Fechamento"/>
  </r>
  <r>
    <n v="292"/>
    <x v="284"/>
    <n v="5.5579999999999998"/>
    <x v="291"/>
    <n v="0.03"/>
    <n v="0.03"/>
    <n v="0.61"/>
    <n v="0.61"/>
    <s v="Fechamento"/>
  </r>
  <r>
    <n v="293"/>
    <x v="285"/>
    <n v="5.5262000000000002"/>
    <x v="292"/>
    <n v="-0.03"/>
    <n v="-0.03"/>
    <n v="-0.56999999999999995"/>
    <n v="-0.56999999999999995"/>
    <s v="Fechamento"/>
  </r>
  <r>
    <n v="294"/>
    <x v="286"/>
    <n v="5.5159000000000002"/>
    <x v="293"/>
    <n v="-0.01"/>
    <n v="-0.01"/>
    <n v="-0.19"/>
    <n v="-0.19"/>
    <s v="Fechamento"/>
  </r>
  <r>
    <n v="295"/>
    <x v="287"/>
    <n v="5.5509000000000004"/>
    <x v="294"/>
    <n v="0.04"/>
    <n v="0.03"/>
    <n v="0.63"/>
    <n v="0.63"/>
    <s v="Fechamento"/>
  </r>
  <r>
    <n v="296"/>
    <x v="288"/>
    <n v="5.4947999999999997"/>
    <x v="295"/>
    <n v="-0.06"/>
    <n v="-0.06"/>
    <n v="-1.01"/>
    <n v="-1.01"/>
    <s v="Fechamento"/>
  </r>
  <r>
    <n v="297"/>
    <x v="289"/>
    <n v="5.4244000000000003"/>
    <x v="296"/>
    <n v="-7.0000000000000007E-2"/>
    <n v="-7.0000000000000007E-2"/>
    <n v="-1.28"/>
    <n v="-1.28"/>
    <s v="Fechamento"/>
  </r>
  <r>
    <n v="298"/>
    <x v="290"/>
    <n v="5.4284999999999997"/>
    <x v="297"/>
    <n v="0"/>
    <n v="0"/>
    <n v="0.08"/>
    <n v="0.08"/>
    <s v="Fechamento"/>
  </r>
  <r>
    <n v="299"/>
    <x v="291"/>
    <n v="5.5392999999999999"/>
    <x v="298"/>
    <n v="0.11"/>
    <n v="0.11"/>
    <n v="2.04"/>
    <n v="2.04"/>
    <s v="Fechamento"/>
  </r>
  <r>
    <n v="300"/>
    <x v="292"/>
    <n v="5.6230000000000002"/>
    <x v="299"/>
    <n v="0.08"/>
    <n v="0.09"/>
    <n v="1.51"/>
    <n v="1.54"/>
    <s v="Fechamento"/>
  </r>
  <r>
    <n v="301"/>
    <x v="293"/>
    <n v="5.6147999999999998"/>
    <x v="300"/>
    <n v="-0.01"/>
    <n v="-0.01"/>
    <n v="-0.15"/>
    <n v="-0.18"/>
    <s v="Fechamento"/>
  </r>
  <r>
    <n v="302"/>
    <x v="294"/>
    <n v="5.5820999999999996"/>
    <x v="301"/>
    <n v="-0.03"/>
    <n v="-0.03"/>
    <n v="-0.57999999999999996"/>
    <n v="-0.57999999999999996"/>
    <s v="Fechamento"/>
  </r>
  <r>
    <n v="303"/>
    <x v="295"/>
    <n v="5.6192000000000002"/>
    <x v="302"/>
    <n v="0.04"/>
    <n v="0.04"/>
    <n v="0.66"/>
    <n v="0.65"/>
    <s v="Fechamento"/>
  </r>
  <r>
    <n v="304"/>
    <x v="296"/>
    <n v="5.6093000000000002"/>
    <x v="303"/>
    <n v="-0.01"/>
    <n v="-0.01"/>
    <n v="-0.18"/>
    <n v="-0.16"/>
    <s v="Fechamento"/>
  </r>
  <r>
    <n v="305"/>
    <x v="297"/>
    <n v="5.6265999999999998"/>
    <x v="304"/>
    <n v="0.02"/>
    <n v="0.02"/>
    <n v="0.31"/>
    <n v="0.32"/>
    <s v="Fechamento"/>
  </r>
  <r>
    <n v="306"/>
    <x v="298"/>
    <n v="5.6482000000000001"/>
    <x v="305"/>
    <n v="0.02"/>
    <n v="0.02"/>
    <n v="0.38"/>
    <n v="0.38"/>
    <s v="Fechamento"/>
  </r>
  <r>
    <n v="307"/>
    <x v="299"/>
    <n v="5.6822999999999997"/>
    <x v="306"/>
    <n v="0.03"/>
    <n v="0.03"/>
    <n v="0.6"/>
    <n v="0.6"/>
    <s v="Fechamento"/>
  </r>
  <r>
    <n v="308"/>
    <x v="300"/>
    <n v="5.7316000000000003"/>
    <x v="307"/>
    <n v="0.05"/>
    <n v="0.05"/>
    <n v="0.87"/>
    <n v="0.87"/>
    <s v="Fechamento"/>
  </r>
  <r>
    <n v="309"/>
    <x v="301"/>
    <n v="5.6954000000000002"/>
    <x v="308"/>
    <n v="-0.04"/>
    <n v="-0.03"/>
    <n v="-0.63"/>
    <n v="-0.61"/>
    <s v="Fechamento"/>
  </r>
  <r>
    <n v="310"/>
    <x v="302"/>
    <n v="5.6443000000000003"/>
    <x v="309"/>
    <n v="-0.05"/>
    <n v="-0.05"/>
    <n v="-0.9"/>
    <n v="-0.92"/>
    <s v="Fechamento"/>
  </r>
  <r>
    <n v="311"/>
    <x v="303"/>
    <n v="5.6109999999999998"/>
    <x v="310"/>
    <n v="-0.03"/>
    <n v="-0.03"/>
    <n v="-0.59"/>
    <n v="-0.59"/>
    <s v="Fechamento"/>
  </r>
  <r>
    <n v="312"/>
    <x v="304"/>
    <n v="5.5750999999999999"/>
    <x v="311"/>
    <n v="-0.04"/>
    <n v="-0.03"/>
    <n v="-0.64"/>
    <n v="-0.62"/>
    <s v="Fechamento"/>
  </r>
  <r>
    <n v="313"/>
    <x v="305"/>
    <n v="5.5867000000000004"/>
    <x v="312"/>
    <n v="0.01"/>
    <n v="0.01"/>
    <n v="0.21"/>
    <n v="0.19"/>
    <s v="Fechamento"/>
  </r>
  <r>
    <n v="314"/>
    <x v="283"/>
    <n v="5.5244"/>
    <x v="313"/>
    <n v="-0.06"/>
    <n v="-0.06"/>
    <n v="-1.1200000000000001"/>
    <n v="-1.1200000000000001"/>
    <s v="Fechamento"/>
  </r>
  <r>
    <n v="315"/>
    <x v="286"/>
    <n v="5.5159000000000002"/>
    <x v="314"/>
    <n v="-0.01"/>
    <n v="-0.01"/>
    <n v="-0.15"/>
    <n v="-0.15"/>
    <s v="Fechamento"/>
  </r>
  <r>
    <n v="316"/>
    <x v="306"/>
    <n v="5.5594999999999999"/>
    <x v="315"/>
    <n v="0.04"/>
    <n v="0.04"/>
    <n v="0.79"/>
    <n v="0.79"/>
    <s v="Fechamento"/>
  </r>
  <r>
    <n v="317"/>
    <x v="282"/>
    <n v="5.5077999999999996"/>
    <x v="316"/>
    <n v="-0.05"/>
    <n v="-0.05"/>
    <n v="-0.93"/>
    <n v="-0.9"/>
    <s v="Fechamento"/>
  </r>
  <r>
    <n v="318"/>
    <x v="307"/>
    <n v="5.5396999999999998"/>
    <x v="317"/>
    <n v="0.03"/>
    <n v="0.03"/>
    <n v="0.57999999999999996"/>
    <n v="0.55000000000000004"/>
    <s v="Fechamento"/>
  </r>
  <r>
    <n v="319"/>
    <x v="308"/>
    <n v="5.5103999999999997"/>
    <x v="318"/>
    <n v="-0.03"/>
    <n v="-0.03"/>
    <n v="-0.53"/>
    <n v="-0.5"/>
    <s v="Fechamento"/>
  </r>
  <r>
    <n v="320"/>
    <x v="309"/>
    <n v="5.4675000000000002"/>
    <x v="319"/>
    <n v="-0.04"/>
    <n v="-0.04"/>
    <n v="-0.78"/>
    <n v="-0.81"/>
    <s v="Fechamento"/>
  </r>
  <r>
    <n v="321"/>
    <x v="310"/>
    <n v="5.4375999999999998"/>
    <x v="320"/>
    <n v="-0.03"/>
    <n v="-0.03"/>
    <n v="-0.55000000000000004"/>
    <n v="-0.53"/>
    <s v="Fechamento"/>
  </r>
  <r>
    <n v="322"/>
    <x v="311"/>
    <n v="5.4272"/>
    <x v="321"/>
    <n v="-0.01"/>
    <n v="-0.01"/>
    <n v="-0.19"/>
    <n v="-0.18"/>
    <s v="Fechamento"/>
  </r>
  <r>
    <n v="323"/>
    <x v="312"/>
    <n v="5.4302000000000001"/>
    <x v="322"/>
    <n v="0"/>
    <n v="0"/>
    <n v="0.06"/>
    <n v="0.05"/>
    <s v="Fechamento"/>
  </r>
  <r>
    <n v="324"/>
    <x v="313"/>
    <n v="5.3952999999999998"/>
    <x v="323"/>
    <n v="-0.03"/>
    <n v="-0.04"/>
    <n v="-0.64"/>
    <n v="-0.66"/>
    <s v="Fechamento"/>
  </r>
  <r>
    <n v="325"/>
    <x v="226"/>
    <n v="5.4436999999999998"/>
    <x v="324"/>
    <n v="0.05"/>
    <n v="0.05"/>
    <n v="0.9"/>
    <n v="0.92"/>
    <s v="Fechamento"/>
  </r>
  <r>
    <n v="326"/>
    <x v="314"/>
    <n v="5.5286999999999997"/>
    <x v="325"/>
    <n v="0.08"/>
    <n v="0.08"/>
    <n v="1.56"/>
    <n v="1.54"/>
    <s v="Fechamento"/>
  </r>
  <r>
    <n v="327"/>
    <x v="315"/>
    <n v="5.54"/>
    <x v="326"/>
    <n v="0.01"/>
    <n v="0.01"/>
    <n v="0.2"/>
    <n v="0.2"/>
    <s v="Fechamento"/>
  </r>
  <r>
    <n v="328"/>
    <x v="316"/>
    <n v="5.5791000000000004"/>
    <x v="327"/>
    <n v="0.04"/>
    <n v="0.04"/>
    <n v="0.71"/>
    <n v="0.72"/>
    <s v="Fechamento"/>
  </r>
  <r>
    <n v="329"/>
    <x v="317"/>
    <n v="5.5511999999999997"/>
    <x v="328"/>
    <n v="-0.03"/>
    <n v="-0.03"/>
    <n v="-0.5"/>
    <n v="-0.5"/>
    <s v="Fechamento"/>
  </r>
  <r>
    <n v="330"/>
    <x v="318"/>
    <n v="5.5911999999999997"/>
    <x v="329"/>
    <n v="0.04"/>
    <n v="0.04"/>
    <n v="0.72"/>
    <n v="0.7"/>
    <s v="Fechamento"/>
  </r>
  <r>
    <n v="331"/>
    <x v="319"/>
    <n v="5.5244999999999997"/>
    <x v="330"/>
    <n v="-7.0000000000000007E-2"/>
    <n v="-7.0000000000000007E-2"/>
    <n v="-1.19"/>
    <n v="-1.18"/>
    <s v="Fechamento"/>
  </r>
  <r>
    <n v="332"/>
    <x v="320"/>
    <n v="5.5208000000000004"/>
    <x v="331"/>
    <n v="0"/>
    <n v="0"/>
    <n v="-7.0000000000000007E-2"/>
    <n v="-0.05"/>
    <s v="Fechamento"/>
  </r>
  <r>
    <n v="333"/>
    <x v="214"/>
    <n v="5.5362"/>
    <x v="332"/>
    <n v="0.02"/>
    <n v="0.01"/>
    <n v="0.28000000000000003"/>
    <n v="0.26"/>
    <s v="Fechamento"/>
  </r>
  <r>
    <n v="334"/>
    <x v="321"/>
    <n v="5.5500999999999996"/>
    <x v="333"/>
    <n v="0.01"/>
    <n v="0.01"/>
    <n v="0.25"/>
    <n v="0.25"/>
    <s v="Fechamento"/>
  </r>
  <r>
    <n v="335"/>
    <x v="322"/>
    <n v="5.5162000000000004"/>
    <x v="334"/>
    <n v="-0.03"/>
    <n v="-0.03"/>
    <n v="-0.61"/>
    <n v="-0.57999999999999996"/>
    <s v="Fechamento"/>
  </r>
  <r>
    <n v="336"/>
    <x v="323"/>
    <n v="5.48"/>
    <x v="335"/>
    <n v="-0.04"/>
    <n v="-0.04"/>
    <n v="-0.66"/>
    <n v="-0.68"/>
    <s v="Fechamento"/>
  </r>
  <r>
    <n v="337"/>
    <x v="324"/>
    <n v="5.4775"/>
    <x v="336"/>
    <n v="0"/>
    <n v="0"/>
    <n v="-0.05"/>
    <n v="-0.05"/>
    <s v="Fechamento"/>
  </r>
  <r>
    <n v="338"/>
    <x v="325"/>
    <n v="5.4782999999999999"/>
    <x v="337"/>
    <n v="0"/>
    <n v="0"/>
    <n v="0.01"/>
    <n v="0.01"/>
    <s v="Fechamento"/>
  </r>
  <r>
    <n v="339"/>
    <x v="326"/>
    <n v="5.4337999999999997"/>
    <x v="338"/>
    <n v="-0.04"/>
    <n v="-0.04"/>
    <n v="-0.81"/>
    <n v="-0.81"/>
    <s v="Fechamento"/>
  </r>
  <r>
    <n v="340"/>
    <x v="327"/>
    <n v="5.4257999999999997"/>
    <x v="339"/>
    <n v="-0.01"/>
    <n v="-0.01"/>
    <n v="-0.15"/>
    <n v="-0.15"/>
    <s v="Fechamento"/>
  </r>
  <r>
    <n v="341"/>
    <x v="328"/>
    <n v="5.3452999999999999"/>
    <x v="340"/>
    <n v="-0.08"/>
    <n v="-0.08"/>
    <n v="-1.48"/>
    <n v="-1.48"/>
    <s v="Fechamento"/>
  </r>
  <r>
    <n v="342"/>
    <x v="329"/>
    <n v="5.34"/>
    <x v="341"/>
    <n v="-0.01"/>
    <n v="-0.01"/>
    <n v="-0.1"/>
    <n v="-0.1"/>
    <s v="Fechamento"/>
  </r>
  <r>
    <n v="343"/>
    <x v="330"/>
    <n v="5.3376000000000001"/>
    <x v="342"/>
    <n v="0"/>
    <n v="0"/>
    <n v="-0.04"/>
    <n v="-0.02"/>
    <s v="Fechamento"/>
  </r>
  <r>
    <n v="344"/>
    <x v="331"/>
    <n v="5.3628"/>
    <x v="343"/>
    <n v="0.03"/>
    <n v="0.02"/>
    <n v="0.47"/>
    <n v="0.45"/>
    <s v="Fechamento"/>
  </r>
  <r>
    <n v="345"/>
    <x v="332"/>
    <n v="5.351"/>
    <x v="344"/>
    <n v="-0.01"/>
    <n v="-0.01"/>
    <n v="-0.22"/>
    <n v="-0.22"/>
    <s v="Fechamento"/>
  </r>
  <r>
    <n v="346"/>
    <x v="333"/>
    <n v="5.3951000000000002"/>
    <x v="345"/>
    <n v="0.04"/>
    <n v="0.04"/>
    <n v="0.82"/>
    <n v="0.83"/>
    <s v="Fechamento"/>
  </r>
  <r>
    <n v="347"/>
    <x v="334"/>
    <n v="5.3689"/>
    <x v="346"/>
    <n v="-0.03"/>
    <n v="-0.03"/>
    <n v="-0.49"/>
    <n v="-0.49"/>
    <s v="Fechamento"/>
  </r>
  <r>
    <n v="348"/>
    <x v="335"/>
    <n v="5.3513999999999999"/>
    <x v="347"/>
    <n v="-0.02"/>
    <n v="-0.02"/>
    <n v="-0.33"/>
    <n v="-0.33"/>
    <s v="Fechamento"/>
  </r>
  <r>
    <n v="349"/>
    <x v="336"/>
    <n v="5.3234000000000004"/>
    <x v="348"/>
    <n v="-0.03"/>
    <n v="-0.03"/>
    <n v="-0.52"/>
    <n v="-0.52"/>
    <s v="Fechamento"/>
  </r>
  <r>
    <n v="350"/>
    <x v="337"/>
    <n v="5.3604000000000003"/>
    <x v="349"/>
    <n v="0.04"/>
    <n v="0.04"/>
    <n v="0.7"/>
    <n v="0.72"/>
    <s v="Fechamento"/>
  </r>
  <r>
    <n v="351"/>
    <x v="338"/>
    <n v="5.3696999999999999"/>
    <x v="350"/>
    <n v="0.01"/>
    <n v="0.01"/>
    <n v="0.17"/>
    <n v="0.15"/>
    <s v="Fechamento"/>
  </r>
  <r>
    <n v="352"/>
    <x v="339"/>
    <n v="5.3525999999999998"/>
    <x v="351"/>
    <n v="-0.02"/>
    <n v="-0.02"/>
    <n v="-0.32"/>
    <n v="-0.32"/>
    <s v="Fechamento"/>
  </r>
  <r>
    <n v="353"/>
    <x v="340"/>
    <n v="5.4256000000000002"/>
    <x v="352"/>
    <n v="7.0000000000000007E-2"/>
    <n v="7.0000000000000007E-2"/>
    <n v="1.36"/>
    <n v="1.36"/>
    <s v="Fechamento"/>
  </r>
  <r>
    <n v="354"/>
    <x v="341"/>
    <n v="5.4287000000000001"/>
    <x v="353"/>
    <n v="0"/>
    <n v="0"/>
    <n v="0.06"/>
    <n v="0.08"/>
    <s v="Fechamento"/>
  </r>
  <r>
    <n v="355"/>
    <x v="342"/>
    <n v="5.4141000000000004"/>
    <x v="354"/>
    <n v="-0.01"/>
    <n v="-0.02"/>
    <n v="-0.27"/>
    <n v="-0.28999999999999998"/>
    <s v="Fechamento"/>
  </r>
  <r>
    <n v="356"/>
    <x v="343"/>
    <n v="5.3146000000000004"/>
    <x v="355"/>
    <n v="-0.1"/>
    <n v="-0.1"/>
    <n v="-1.84"/>
    <n v="-1.81"/>
    <s v="Fechamento"/>
  </r>
  <r>
    <n v="357"/>
    <x v="344"/>
    <n v="5.2786"/>
    <x v="356"/>
    <n v="-0.04"/>
    <n v="-0.04"/>
    <n v="-0.68"/>
    <n v="-0.68"/>
    <s v="Fechamento"/>
  </r>
  <r>
    <n v="358"/>
    <x v="345"/>
    <n v="5.2723000000000004"/>
    <x v="357"/>
    <n v="-0.01"/>
    <n v="-0.01"/>
    <n v="-0.12"/>
    <n v="-0.13"/>
    <s v="Fechamento"/>
  </r>
  <r>
    <n v="359"/>
    <x v="346"/>
    <n v="5.2572000000000001"/>
    <x v="358"/>
    <n v="-0.02"/>
    <n v="-0.02"/>
    <n v="-0.28999999999999998"/>
    <n v="-0.3"/>
    <s v="Fechamento"/>
  </r>
  <r>
    <n v="360"/>
    <x v="347"/>
    <n v="5.2591000000000001"/>
    <x v="359"/>
    <n v="0"/>
    <n v="0"/>
    <n v="0.04"/>
    <n v="0.04"/>
    <s v="Fechamento"/>
  </r>
  <r>
    <n v="361"/>
    <x v="348"/>
    <n v="5.2484999999999999"/>
    <x v="360"/>
    <n v="-0.01"/>
    <n v="-0.01"/>
    <n v="-0.2"/>
    <n v="-0.2"/>
    <s v="Fechamento"/>
  </r>
  <r>
    <n v="362"/>
    <x v="349"/>
    <n v="5.2382"/>
    <x v="361"/>
    <n v="-0.01"/>
    <n v="-0.01"/>
    <n v="-0.2"/>
    <n v="-0.2"/>
    <s v="Fechamento"/>
  </r>
  <r>
    <n v="363"/>
    <x v="350"/>
    <n v="5.2629999999999999"/>
    <x v="362"/>
    <n v="0.02"/>
    <n v="0.02"/>
    <n v="0.47"/>
    <n v="0.47"/>
    <s v="Fechamento"/>
  </r>
  <r>
    <n v="364"/>
    <x v="351"/>
    <n v="5.2721"/>
    <x v="363"/>
    <n v="0.01"/>
    <n v="0.01"/>
    <n v="0.17"/>
    <n v="0.19"/>
    <s v="Fechamento"/>
  </r>
  <r>
    <n v="365"/>
    <x v="352"/>
    <n v="5.2751999999999999"/>
    <x v="364"/>
    <n v="0"/>
    <n v="0"/>
    <n v="0.06"/>
    <n v="0.06"/>
    <s v="Fechamento"/>
  </r>
  <r>
    <n v="366"/>
    <x v="353"/>
    <n v="5.2220000000000004"/>
    <x v="365"/>
    <n v="-0.05"/>
    <n v="-0.05"/>
    <n v="-1.01"/>
    <n v="-1.03"/>
    <s v="Fechamento"/>
  </r>
  <r>
    <n v="367"/>
    <x v="354"/>
    <n v="5.2248000000000001"/>
    <x v="366"/>
    <n v="0"/>
    <n v="0"/>
    <n v="0.05"/>
    <n v="7.0000000000000007E-2"/>
    <s v="Fechamento"/>
  </r>
  <r>
    <n v="368"/>
    <x v="355"/>
    <n v="5.2350000000000003"/>
    <x v="367"/>
    <n v="0.01"/>
    <n v="0.01"/>
    <n v="0.2"/>
    <n v="0.18"/>
    <s v="Fechamento"/>
  </r>
  <r>
    <n v="369"/>
    <x v="356"/>
    <n v="5.2305000000000001"/>
    <x v="368"/>
    <n v="0"/>
    <n v="0"/>
    <n v="-0.09"/>
    <n v="-0.08"/>
    <s v="Fechamento"/>
  </r>
  <r>
    <n v="370"/>
    <x v="357"/>
    <n v="5.2039"/>
    <x v="369"/>
    <n v="-0.03"/>
    <n v="-0.03"/>
    <n v="-0.51"/>
    <n v="-0.48"/>
    <s v="Fechamento"/>
  </r>
  <r>
    <n v="371"/>
    <x v="358"/>
    <n v="5.2039"/>
    <x v="370"/>
    <n v="0"/>
    <n v="0"/>
    <n v="0"/>
    <n v="-0.01"/>
    <s v="Fechamento"/>
  </r>
  <r>
    <n v="372"/>
    <x v="359"/>
    <n v="5.2511000000000001"/>
    <x v="371"/>
    <n v="0.05"/>
    <n v="0.05"/>
    <n v="0.91"/>
    <n v="0.89"/>
    <s v="Fechamento"/>
  </r>
  <r>
    <n v="373"/>
    <x v="360"/>
    <n v="5.2957999999999998"/>
    <x v="372"/>
    <n v="0.04"/>
    <n v="0.05"/>
    <n v="0.85"/>
    <n v="0.88"/>
    <s v="Fechamento"/>
  </r>
  <r>
    <n v="374"/>
    <x v="361"/>
    <n v="5.2869000000000002"/>
    <x v="373"/>
    <n v="-0.01"/>
    <n v="-0.01"/>
    <n v="-0.17"/>
    <n v="-0.2"/>
    <s v="Fechamento"/>
  </r>
  <r>
    <n v="375"/>
    <x v="362"/>
    <n v="5.2625999999999999"/>
    <x v="374"/>
    <n v="-0.02"/>
    <n v="-0.02"/>
    <n v="-0.46"/>
    <n v="-0.43"/>
    <s v="Fechamento"/>
  </r>
  <r>
    <n v="376"/>
    <x v="363"/>
    <n v="5.2281000000000004"/>
    <x v="375"/>
    <n v="-0.03"/>
    <n v="-0.04"/>
    <n v="-0.66"/>
    <n v="-0.68"/>
    <s v="Fechamento"/>
  </r>
  <r>
    <n v="377"/>
    <x v="364"/>
    <n v="5.2390999999999996"/>
    <x v="376"/>
    <n v="0.01"/>
    <n v="0.01"/>
    <n v="0.21"/>
    <n v="0.24"/>
    <s v="Fechamento"/>
  </r>
  <r>
    <n v="378"/>
    <x v="365"/>
    <n v="5.2797999999999998"/>
    <x v="377"/>
    <n v="0.04"/>
    <n v="0.04"/>
    <n v="0.78"/>
    <n v="0.75"/>
    <s v="Fechamento"/>
  </r>
  <r>
    <n v="379"/>
    <x v="110"/>
    <n v="5.3262"/>
    <x v="378"/>
    <n v="0.05"/>
    <n v="0.05"/>
    <n v="0.88"/>
    <n v="0.88"/>
    <s v="Fechamento"/>
  </r>
  <r>
    <n v="380"/>
    <x v="366"/>
    <n v="5.3502999999999998"/>
    <x v="379"/>
    <n v="0.02"/>
    <n v="0.02"/>
    <n v="0.45"/>
    <n v="0.46"/>
    <s v="Fechamento"/>
  </r>
  <r>
    <n v="381"/>
    <x v="367"/>
    <n v="5.3570000000000002"/>
    <x v="380"/>
    <n v="0.01"/>
    <n v="0.01"/>
    <n v="0.13"/>
    <n v="0.11"/>
    <s v="Fechamento"/>
  </r>
  <r>
    <n v="382"/>
    <x v="368"/>
    <n v="5.3815"/>
    <x v="381"/>
    <n v="0.02"/>
    <n v="0.02"/>
    <n v="0.46"/>
    <n v="0.46"/>
    <s v="Fechamento"/>
  </r>
  <r>
    <n v="383"/>
    <x v="369"/>
    <n v="5.3455000000000004"/>
    <x v="382"/>
    <n v="-0.04"/>
    <n v="-0.03"/>
    <n v="-0.67"/>
    <n v="-0.65"/>
    <s v="Fechamento"/>
  </r>
  <r>
    <n v="384"/>
    <x v="370"/>
    <n v="5.3779000000000003"/>
    <x v="383"/>
    <n v="0.03"/>
    <n v="0.03"/>
    <n v="0.61"/>
    <n v="0.59"/>
    <s v="Fechamento"/>
  </r>
  <r>
    <n v="385"/>
    <x v="371"/>
    <n v="5.3894000000000002"/>
    <x v="384"/>
    <n v="0.01"/>
    <n v="0.01"/>
    <n v="0.21"/>
    <n v="0.21"/>
    <s v="Fechamento"/>
  </r>
  <r>
    <n v="386"/>
    <x v="372"/>
    <n v="5.4282000000000004"/>
    <x v="385"/>
    <n v="0.04"/>
    <n v="0.04"/>
    <n v="0.72"/>
    <n v="0.72"/>
    <s v="Fechamento"/>
  </r>
  <r>
    <n v="387"/>
    <x v="373"/>
    <n v="5.3914999999999997"/>
    <x v="386"/>
    <n v="-0.04"/>
    <n v="-0.04"/>
    <n v="-0.68"/>
    <n v="-0.65"/>
    <s v="Fechamento"/>
  </r>
  <r>
    <n v="388"/>
    <x v="374"/>
    <n v="5.3741000000000003"/>
    <x v="387"/>
    <n v="-0.02"/>
    <n v="-0.02"/>
    <n v="-0.32"/>
    <n v="-0.35"/>
    <s v="Fechamento"/>
  </r>
  <r>
    <n v="389"/>
    <x v="375"/>
    <n v="5.3327999999999998"/>
    <x v="388"/>
    <n v="-0.04"/>
    <n v="-0.04"/>
    <n v="-0.77"/>
    <n v="-0.74"/>
    <s v="Fechamento"/>
  </r>
  <r>
    <n v="390"/>
    <x v="376"/>
    <n v="5.3083"/>
    <x v="389"/>
    <n v="-0.02"/>
    <n v="-0.03"/>
    <n v="-0.46"/>
    <n v="-0.49"/>
    <s v="Fechamento"/>
  </r>
  <r>
    <n v="391"/>
    <x v="377"/>
    <n v="5.2606000000000002"/>
    <x v="390"/>
    <n v="-0.05"/>
    <n v="-0.05"/>
    <n v="-0.9"/>
    <n v="-0.9"/>
    <s v="Fechamento"/>
  </r>
  <r>
    <n v="392"/>
    <x v="378"/>
    <n v="5.2483000000000004"/>
    <x v="391"/>
    <n v="-0.01"/>
    <n v="-0.01"/>
    <n v="-0.23"/>
    <n v="-0.21"/>
    <s v="Fechamento"/>
  </r>
  <r>
    <n v="393"/>
    <x v="379"/>
    <n v="5.2473999999999998"/>
    <x v="392"/>
    <n v="0"/>
    <n v="0"/>
    <n v="-0.02"/>
    <n v="-0.02"/>
    <s v="Fechamento"/>
  </r>
  <r>
    <n v="394"/>
    <x v="380"/>
    <n v="5.1921999999999997"/>
    <x v="393"/>
    <n v="-0.06"/>
    <n v="-0.06"/>
    <n v="-1.05"/>
    <n v="-1.08"/>
    <s v="Fechamento"/>
  </r>
  <r>
    <n v="395"/>
    <x v="381"/>
    <n v="5.2163000000000004"/>
    <x v="394"/>
    <n v="0.02"/>
    <n v="0.02"/>
    <n v="0.46"/>
    <n v="0.47"/>
    <s v="Fechamento"/>
  </r>
  <r>
    <n v="396"/>
    <x v="382"/>
    <n v="5.2251000000000003"/>
    <x v="395"/>
    <n v="0.01"/>
    <n v="0.01"/>
    <n v="0.17"/>
    <n v="0.16"/>
    <s v="Fechamento"/>
  </r>
  <r>
    <n v="397"/>
    <x v="383"/>
    <n v="5.2389000000000001"/>
    <x v="396"/>
    <n v="0.01"/>
    <n v="0.01"/>
    <n v="0.26"/>
    <n v="0.28000000000000003"/>
    <s v="Fechamento"/>
  </r>
  <r>
    <n v="398"/>
    <x v="384"/>
    <n v="5.2603"/>
    <x v="397"/>
    <n v="0.02"/>
    <n v="0.02"/>
    <n v="0.41"/>
    <n v="0.39"/>
    <s v="Fechamento"/>
  </r>
  <r>
    <n v="399"/>
    <x v="385"/>
    <n v="5.3428000000000004"/>
    <x v="398"/>
    <n v="0.08"/>
    <n v="0.08"/>
    <n v="1.57"/>
    <n v="1.57"/>
    <s v="Fechamento"/>
  </r>
  <r>
    <n v="400"/>
    <x v="386"/>
    <n v="5.3650000000000002"/>
    <x v="399"/>
    <n v="0.02"/>
    <n v="0.02"/>
    <n v="0.42"/>
    <n v="0.42"/>
    <s v="Fechamento"/>
  </r>
  <r>
    <n v="401"/>
    <x v="387"/>
    <n v="5.3916000000000004"/>
    <x v="400"/>
    <n v="0.03"/>
    <n v="0.03"/>
    <n v="0.5"/>
    <n v="0.5"/>
    <s v="Fechamento"/>
  </r>
  <r>
    <n v="402"/>
    <x v="388"/>
    <n v="5.3898000000000001"/>
    <x v="401"/>
    <n v="0"/>
    <n v="0"/>
    <n v="-0.03"/>
    <n v="-0.03"/>
    <s v="Fechamento"/>
  </r>
  <r>
    <n v="403"/>
    <x v="389"/>
    <n v="5.3799000000000001"/>
    <x v="402"/>
    <n v="-0.01"/>
    <n v="-0.01"/>
    <n v="-0.18"/>
    <n v="-0.19"/>
    <s v="Fechamento"/>
  </r>
  <r>
    <n v="404"/>
    <x v="390"/>
    <n v="5.3456999999999999"/>
    <x v="403"/>
    <n v="-0.03"/>
    <n v="-0.03"/>
    <n v="-0.64"/>
    <n v="-0.64"/>
    <s v="Fechamento"/>
  </r>
  <r>
    <n v="405"/>
    <x v="391"/>
    <n v="5.3609"/>
    <x v="404"/>
    <n v="0.02"/>
    <n v="0.02"/>
    <n v="0.28000000000000003"/>
    <n v="0.28000000000000003"/>
    <s v="Fechamento"/>
  </r>
  <r>
    <n v="406"/>
    <x v="392"/>
    <n v="5.4038000000000004"/>
    <x v="405"/>
    <n v="0.04"/>
    <n v="0.04"/>
    <n v="0.8"/>
    <n v="0.83"/>
    <s v="Fechamento"/>
  </r>
  <r>
    <n v="407"/>
    <x v="393"/>
    <n v="5.444"/>
    <x v="406"/>
    <n v="0.04"/>
    <n v="0.04"/>
    <n v="0.74"/>
    <n v="0.71"/>
    <s v="Fechamento"/>
  </r>
  <r>
    <n v="408"/>
    <x v="394"/>
    <n v="5.4271000000000003"/>
    <x v="407"/>
    <n v="-0.02"/>
    <n v="-0.02"/>
    <n v="-0.31"/>
    <n v="-0.31"/>
    <s v="Fechamento"/>
  </r>
  <r>
    <n v="409"/>
    <x v="395"/>
    <n v="5.4180000000000001"/>
    <x v="408"/>
    <n v="-0.01"/>
    <n v="-0.01"/>
    <n v="-0.17"/>
    <n v="-0.17"/>
    <s v="Fechamento"/>
  </r>
  <r>
    <n v="410"/>
    <x v="396"/>
    <n v="5.4080000000000004"/>
    <x v="409"/>
    <n v="-0.01"/>
    <n v="-0.01"/>
    <n v="-0.18"/>
    <n v="-0.18"/>
    <s v="Fechamento"/>
  </r>
  <r>
    <n v="411"/>
    <x v="397"/>
    <n v="5.4283000000000001"/>
    <x v="410"/>
    <n v="0.02"/>
    <n v="0.02"/>
    <n v="0.38"/>
    <n v="0.38"/>
    <s v="Fechamento"/>
  </r>
  <r>
    <n v="412"/>
    <x v="145"/>
    <n v="5.3623000000000003"/>
    <x v="411"/>
    <n v="-7.0000000000000007E-2"/>
    <n v="-7.0000000000000007E-2"/>
    <n v="-1.22"/>
    <n v="-1.22"/>
    <s v="Fechamento"/>
  </r>
  <r>
    <n v="413"/>
    <x v="398"/>
    <n v="5.3198999999999996"/>
    <x v="412"/>
    <n v="-0.04"/>
    <n v="-0.04"/>
    <n v="-0.79"/>
    <n v="-0.76"/>
    <s v="Fechamento"/>
  </r>
  <r>
    <n v="414"/>
    <x v="399"/>
    <n v="5.2774999999999999"/>
    <x v="413"/>
    <n v="-0.04"/>
    <n v="-0.04"/>
    <n v="-0.8"/>
    <n v="-0.81"/>
    <s v="Fechamento"/>
  </r>
  <r>
    <n v="415"/>
    <x v="400"/>
    <n v="5.2619999999999996"/>
    <x v="414"/>
    <n v="-0.02"/>
    <n v="-0.02"/>
    <n v="-0.28999999999999998"/>
    <n v="-0.31"/>
    <s v="Fechamento"/>
  </r>
  <r>
    <n v="416"/>
    <x v="401"/>
    <n v="5.2901999999999996"/>
    <x v="415"/>
    <n v="0.03"/>
    <n v="0.03"/>
    <n v="0.54"/>
    <n v="0.56999999999999995"/>
    <s v="Fechamento"/>
  </r>
  <r>
    <n v="417"/>
    <x v="402"/>
    <n v="5.2861000000000002"/>
    <x v="416"/>
    <n v="0"/>
    <n v="-0.01"/>
    <n v="-0.08"/>
    <n v="-0.13"/>
    <s v="Fechamento"/>
  </r>
  <r>
    <n v="418"/>
    <x v="403"/>
    <n v="5.3163"/>
    <x v="417"/>
    <n v="0.03"/>
    <n v="0.03"/>
    <n v="0.56999999999999995"/>
    <n v="0.59"/>
    <s v="Fechamento"/>
  </r>
  <r>
    <n v="419"/>
    <x v="404"/>
    <n v="5.3353000000000002"/>
    <x v="418"/>
    <n v="0.02"/>
    <n v="0.02"/>
    <n v="0.36"/>
    <n v="0.38"/>
    <s v="Fechamento"/>
  </r>
  <r>
    <n v="420"/>
    <x v="405"/>
    <n v="5.3198999999999996"/>
    <x v="419"/>
    <n v="-0.02"/>
    <n v="-0.02"/>
    <n v="-0.28999999999999998"/>
    <n v="-0.31"/>
    <s v="Fechamento"/>
  </r>
  <r>
    <n v="421"/>
    <x v="406"/>
    <n v="5.3114999999999997"/>
    <x v="420"/>
    <n v="-0.01"/>
    <n v="-0.01"/>
    <n v="-0.16"/>
    <n v="-0.16"/>
    <s v="Fechamento"/>
  </r>
  <r>
    <n v="422"/>
    <x v="407"/>
    <n v="5.3327999999999998"/>
    <x v="421"/>
    <n v="0.02"/>
    <n v="0.02"/>
    <n v="0.4"/>
    <n v="0.4"/>
    <s v="Fechamento"/>
  </r>
  <r>
    <n v="423"/>
    <x v="408"/>
    <n v="5.3319999999999999"/>
    <x v="422"/>
    <n v="0"/>
    <n v="0"/>
    <n v="-0.02"/>
    <n v="-0.02"/>
    <s v="Fechamento"/>
  </r>
  <r>
    <n v="424"/>
    <x v="409"/>
    <n v="5.3372999999999999"/>
    <x v="423"/>
    <n v="0.01"/>
    <n v="0.01"/>
    <n v="0.1"/>
    <n v="0.12"/>
    <s v="Fechamento"/>
  </r>
  <r>
    <n v="425"/>
    <x v="410"/>
    <n v="5.3038999999999996"/>
    <x v="424"/>
    <n v="-0.03"/>
    <n v="-0.03"/>
    <n v="-0.63"/>
    <n v="-0.62"/>
    <s v="Fechamento"/>
  </r>
  <r>
    <n v="426"/>
    <x v="411"/>
    <n v="5.3098999999999998"/>
    <x v="425"/>
    <n v="0.01"/>
    <n v="0.01"/>
    <n v="0.11"/>
    <n v="0.12"/>
    <s v="Fechamento"/>
  </r>
  <r>
    <n v="427"/>
    <x v="412"/>
    <n v="5.28"/>
    <x v="426"/>
    <n v="-0.03"/>
    <n v="-0.03"/>
    <n v="-0.56000000000000005"/>
    <n v="-0.57999999999999996"/>
    <s v="Fechamento"/>
  </r>
  <r>
    <n v="428"/>
    <x v="413"/>
    <n v="5.1973000000000003"/>
    <x v="427"/>
    <n v="-0.08"/>
    <n v="-0.08"/>
    <n v="-1.57"/>
    <n v="-1.57"/>
    <s v="Fechamento"/>
  </r>
  <r>
    <n v="429"/>
    <x v="414"/>
    <n v="5.1970999999999998"/>
    <x v="428"/>
    <n v="0"/>
    <n v="0"/>
    <n v="0"/>
    <n v="0.01"/>
    <s v="Fechamento"/>
  </r>
  <r>
    <n v="430"/>
    <x v="415"/>
    <n v="5.1913"/>
    <x v="429"/>
    <n v="-0.01"/>
    <n v="-0.01"/>
    <n v="-0.11"/>
    <n v="-0.13"/>
    <s v="Fechamento"/>
  </r>
  <r>
    <n v="431"/>
    <x v="416"/>
    <n v="5.1893000000000002"/>
    <x v="430"/>
    <n v="0"/>
    <n v="0"/>
    <n v="-0.04"/>
    <n v="-0.02"/>
    <s v="Fechamento"/>
  </r>
  <r>
    <n v="432"/>
    <x v="417"/>
    <n v="5.1959"/>
    <x v="431"/>
    <n v="0.01"/>
    <n v="0.01"/>
    <n v="0.13"/>
    <n v="0.11"/>
    <s v="Fechamento"/>
  </r>
  <r>
    <n v="433"/>
    <x v="418"/>
    <n v="5.2512999999999996"/>
    <x v="432"/>
    <n v="0.06"/>
    <n v="0.05"/>
    <n v="1.07"/>
    <n v="1.05"/>
    <s v="Fechamento"/>
  </r>
  <r>
    <n v="434"/>
    <x v="419"/>
    <n v="5.2374000000000001"/>
    <x v="433"/>
    <n v="-0.01"/>
    <n v="-0.01"/>
    <n v="-0.26"/>
    <n v="-0.22"/>
    <s v="Fechamento"/>
  </r>
  <r>
    <n v="435"/>
    <x v="420"/>
    <n v="5.2548000000000004"/>
    <x v="434"/>
    <n v="0.02"/>
    <n v="0.01"/>
    <n v="0.33"/>
    <n v="0.28999999999999998"/>
    <s v="Fechamento"/>
  </r>
  <r>
    <n v="436"/>
    <x v="421"/>
    <n v="5.2576000000000001"/>
    <x v="435"/>
    <n v="0"/>
    <n v="0"/>
    <n v="0.05"/>
    <n v="7.0000000000000007E-2"/>
    <s v="Fechamento"/>
  </r>
  <r>
    <n v="437"/>
    <x v="422"/>
    <n v="5.2858999999999998"/>
    <x v="436"/>
    <n v="0.03"/>
    <n v="0.03"/>
    <n v="0.54"/>
    <n v="0.54"/>
    <s v="Fechamento"/>
  </r>
  <r>
    <n v="438"/>
    <x v="423"/>
    <n v="5.3391999999999999"/>
    <x v="437"/>
    <n v="0.05"/>
    <n v="0.05"/>
    <n v="1.01"/>
    <n v="1.03"/>
    <s v="Fechamento"/>
  </r>
  <r>
    <n v="439"/>
    <x v="424"/>
    <n v="5.3"/>
    <x v="438"/>
    <n v="-0.04"/>
    <n v="-0.04"/>
    <n v="-0.73"/>
    <n v="-0.73"/>
    <s v="Fechamento"/>
  </r>
  <r>
    <n v="440"/>
    <x v="425"/>
    <n v="5.3217999999999996"/>
    <x v="439"/>
    <n v="0.02"/>
    <n v="0.02"/>
    <n v="0.41"/>
    <n v="0.39"/>
    <s v="Fechamento"/>
  </r>
  <r>
    <n v="441"/>
    <x v="426"/>
    <n v="5.3419999999999996"/>
    <x v="440"/>
    <n v="0.02"/>
    <n v="0.02"/>
    <n v="0.38"/>
    <n v="0.4"/>
    <s v="Fechamento"/>
  </r>
  <r>
    <n v="442"/>
    <x v="427"/>
    <n v="5.4211"/>
    <x v="441"/>
    <n v="0.08"/>
    <n v="0.08"/>
    <n v="1.48"/>
    <n v="1.44"/>
    <s v="Fechamento"/>
  </r>
  <r>
    <n v="443"/>
    <x v="428"/>
    <n v="5.4443000000000001"/>
    <x v="442"/>
    <n v="0.02"/>
    <n v="0.02"/>
    <n v="0.43"/>
    <n v="0.45"/>
    <s v="Fechamento"/>
  </r>
  <r>
    <n v="444"/>
    <x v="429"/>
    <n v="5.5011999999999999"/>
    <x v="443"/>
    <n v="0.06"/>
    <n v="0.06"/>
    <n v="1.05"/>
    <n v="1.05"/>
    <s v="Fechamento"/>
  </r>
  <r>
    <n v="445"/>
    <x v="430"/>
    <n v="5.4455999999999998"/>
    <x v="444"/>
    <n v="-0.06"/>
    <n v="-0.06"/>
    <n v="-1.01"/>
    <n v="-1"/>
    <s v="Fechamento"/>
  </r>
  <r>
    <n v="446"/>
    <x v="431"/>
    <n v="5.4015000000000004"/>
    <x v="445"/>
    <n v="-0.04"/>
    <n v="-0.04"/>
    <n v="-0.81"/>
    <n v="-0.83"/>
    <s v="Fechamento"/>
  </r>
  <r>
    <n v="447"/>
    <x v="432"/>
    <n v="5.3601999999999999"/>
    <x v="446"/>
    <n v="-0.04"/>
    <n v="-0.04"/>
    <n v="-0.76"/>
    <n v="-0.77"/>
    <s v="Fechamento"/>
  </r>
  <r>
    <n v="448"/>
    <x v="433"/>
    <n v="5.3170999999999999"/>
    <x v="447"/>
    <n v="-0.04"/>
    <n v="-0.04"/>
    <n v="-0.8"/>
    <n v="-0.8"/>
    <s v="Fechamento"/>
  </r>
  <r>
    <n v="449"/>
    <x v="330"/>
    <n v="5.3387000000000002"/>
    <x v="448"/>
    <n v="0.02"/>
    <n v="0.02"/>
    <n v="0.41"/>
    <n v="0.4"/>
    <s v="Fechamento"/>
  </r>
  <r>
    <n v="450"/>
    <x v="434"/>
    <n v="5.3376999999999999"/>
    <x v="449"/>
    <n v="0"/>
    <n v="0"/>
    <n v="-0.02"/>
    <n v="-0.02"/>
    <s v="Fechamento"/>
  </r>
  <r>
    <n v="451"/>
    <x v="435"/>
    <n v="5.3262999999999998"/>
    <x v="450"/>
    <n v="-0.01"/>
    <n v="-0.01"/>
    <n v="-0.21"/>
    <n v="-0.21"/>
    <s v="Fechamento"/>
  </r>
  <r>
    <n v="452"/>
    <x v="436"/>
    <n v="5.3426"/>
    <x v="451"/>
    <n v="0.02"/>
    <n v="0.02"/>
    <n v="0.31"/>
    <n v="0.3"/>
    <s v="Fechamento"/>
  </r>
  <r>
    <n v="453"/>
    <x v="437"/>
    <n v="5.3524000000000003"/>
    <x v="452"/>
    <n v="0.01"/>
    <n v="0.01"/>
    <n v="0.18"/>
    <n v="0.19"/>
    <s v="Fechamento"/>
  </r>
  <r>
    <n v="454"/>
    <x v="438"/>
    <n v="5.3410000000000002"/>
    <x v="453"/>
    <n v="-0.01"/>
    <n v="-0.01"/>
    <n v="-0.21"/>
    <n v="-0.21"/>
    <s v="Fechamento"/>
  </r>
  <r>
    <n v="455"/>
    <x v="410"/>
    <n v="5.3053999999999997"/>
    <x v="454"/>
    <n v="-0.04"/>
    <n v="-0.04"/>
    <n v="-0.67"/>
    <n v="-0.67"/>
    <s v="Fechamento"/>
  </r>
  <r>
    <n v="456"/>
    <x v="81"/>
    <n v="5.2904999999999998"/>
    <x v="455"/>
    <n v="-0.01"/>
    <n v="-0.01"/>
    <n v="-0.28000000000000003"/>
    <n v="-0.28000000000000003"/>
    <s v="Fechamento"/>
  </r>
  <r>
    <n v="457"/>
    <x v="439"/>
    <n v="5.2728000000000002"/>
    <x v="456"/>
    <n v="-0.02"/>
    <n v="-0.02"/>
    <n v="-0.33"/>
    <n v="-0.33"/>
    <s v="Fechamento"/>
  </r>
  <r>
    <n v="458"/>
    <x v="440"/>
    <n v="5.2413999999999996"/>
    <x v="457"/>
    <n v="-0.03"/>
    <n v="-0.03"/>
    <n v="-0.6"/>
    <n v="-0.6"/>
    <s v="Fechamento"/>
  </r>
  <r>
    <n v="459"/>
    <x v="441"/>
    <n v="5.3183999999999996"/>
    <x v="458"/>
    <n v="0.08"/>
    <n v="0.08"/>
    <n v="1.47"/>
    <n v="1.47"/>
    <s v="Fechamento"/>
  </r>
  <r>
    <n v="460"/>
    <x v="390"/>
    <n v="5.3452999999999999"/>
    <x v="459"/>
    <n v="0.03"/>
    <n v="0.03"/>
    <n v="0.51"/>
    <n v="0.52"/>
    <s v="Fechamento"/>
  </r>
  <r>
    <n v="461"/>
    <x v="442"/>
    <n v="5.2908999999999997"/>
    <x v="460"/>
    <n v="-0.05"/>
    <n v="-0.06"/>
    <n v="-1.02"/>
    <n v="-1.04"/>
    <s v="Fechamento"/>
  </r>
  <r>
    <n v="462"/>
    <x v="443"/>
    <n v="5.25"/>
    <x v="461"/>
    <n v="-0.04"/>
    <n v="-0.04"/>
    <n v="-0.77"/>
    <n v="-0.75"/>
    <s v="Fechamento"/>
  </r>
  <r>
    <n v="463"/>
    <x v="444"/>
    <n v="5.2653999999999996"/>
    <x v="462"/>
    <n v="0.02"/>
    <n v="0.02"/>
    <n v="0.28999999999999998"/>
    <n v="0.28999999999999998"/>
    <s v="Fechamento"/>
  </r>
  <r>
    <n v="464"/>
    <x v="445"/>
    <n v="5.2013999999999996"/>
    <x v="463"/>
    <n v="-0.06"/>
    <n v="-0.06"/>
    <n v="-1.22"/>
    <n v="-1.22"/>
    <s v="Fechamento"/>
  </r>
  <r>
    <n v="465"/>
    <x v="446"/>
    <n v="5.2313999999999998"/>
    <x v="464"/>
    <n v="0.03"/>
    <n v="0.03"/>
    <n v="0.57999999999999996"/>
    <n v="0.57999999999999996"/>
    <s v="Fechamento"/>
  </r>
  <r>
    <n v="466"/>
    <x v="447"/>
    <n v="5.2515999999999998"/>
    <x v="465"/>
    <n v="0.02"/>
    <n v="0.02"/>
    <n v="0.39"/>
    <n v="0.42"/>
    <s v="Fechamento"/>
  </r>
  <r>
    <n v="467"/>
    <x v="447"/>
    <n v="5.2516999999999996"/>
    <x v="466"/>
    <n v="0"/>
    <n v="0"/>
    <n v="0"/>
    <n v="0"/>
    <s v="Fechamento"/>
  </r>
  <r>
    <n v="468"/>
    <x v="444"/>
    <n v="5.2655000000000003"/>
    <x v="467"/>
    <n v="0.01"/>
    <n v="0.01"/>
    <n v="0.26"/>
    <n v="0.23"/>
    <s v="Fechamento"/>
  </r>
  <r>
    <n v="469"/>
    <x v="448"/>
    <n v="5.2770999999999999"/>
    <x v="468"/>
    <n v="0.01"/>
    <n v="0.01"/>
    <n v="0.22"/>
    <n v="0.22"/>
    <s v="Fechamento"/>
  </r>
  <r>
    <n v="470"/>
    <x v="449"/>
    <n v="5.2854000000000001"/>
    <x v="469"/>
    <n v="0.01"/>
    <n v="0.01"/>
    <n v="0.16"/>
    <n v="0.16"/>
    <s v="Fechamento"/>
  </r>
  <r>
    <n v="471"/>
    <x v="450"/>
    <n v="5.3192000000000004"/>
    <x v="470"/>
    <n v="0.03"/>
    <n v="0.03"/>
    <n v="0.64"/>
    <n v="0.64"/>
    <s v="Fechamento"/>
  </r>
  <r>
    <n v="472"/>
    <x v="451"/>
    <n v="5.3297999999999996"/>
    <x v="471"/>
    <n v="0.01"/>
    <n v="0.01"/>
    <n v="0.2"/>
    <n v="0.23"/>
    <s v="Fechamento"/>
  </r>
  <r>
    <n v="473"/>
    <x v="452"/>
    <n v="5.3369"/>
    <x v="472"/>
    <n v="0.01"/>
    <n v="0.01"/>
    <n v="0.13"/>
    <n v="0.13"/>
    <s v="Fechamento"/>
  </r>
  <r>
    <n v="474"/>
    <x v="453"/>
    <n v="5.3217999999999996"/>
    <x v="473"/>
    <n v="-0.02"/>
    <n v="-0.02"/>
    <n v="-0.28000000000000003"/>
    <n v="-0.31"/>
    <s v="Fechamento"/>
  </r>
  <r>
    <n v="475"/>
    <x v="454"/>
    <n v="5.3394000000000004"/>
    <x v="474"/>
    <n v="0.02"/>
    <n v="0.02"/>
    <n v="0.33"/>
    <n v="0.33"/>
    <s v="Fechamento"/>
  </r>
  <r>
    <n v="476"/>
    <x v="455"/>
    <n v="5.3536000000000001"/>
    <x v="475"/>
    <n v="0.01"/>
    <n v="0.01"/>
    <n v="0.27"/>
    <n v="0.27"/>
    <s v="Fechamento"/>
  </r>
  <r>
    <n v="477"/>
    <x v="456"/>
    <n v="5.3528000000000002"/>
    <x v="476"/>
    <n v="0"/>
    <n v="0"/>
    <n v="-0.01"/>
    <n v="-0.01"/>
    <s v="Fechamento"/>
  </r>
  <r>
    <n v="478"/>
    <x v="457"/>
    <n v="5.3670999999999998"/>
    <x v="477"/>
    <n v="0.01"/>
    <n v="0.01"/>
    <n v="0.27"/>
    <n v="0.27"/>
    <s v="Fechamento"/>
  </r>
  <r>
    <n v="479"/>
    <x v="458"/>
    <n v="5.3714000000000004"/>
    <x v="478"/>
    <n v="0"/>
    <n v="0"/>
    <n v="0.08"/>
    <n v="0.08"/>
    <s v="Fechamento"/>
  </r>
  <r>
    <n v="480"/>
    <x v="459"/>
    <n v="5.3856000000000002"/>
    <x v="479"/>
    <n v="0.01"/>
    <n v="0.01"/>
    <n v="0.26"/>
    <n v="0.26"/>
    <s v="Fechamento"/>
  </r>
  <r>
    <n v="481"/>
    <x v="460"/>
    <n v="5.3323"/>
    <x v="480"/>
    <n v="-0.05"/>
    <n v="-0.05"/>
    <n v="-0.99"/>
    <n v="-0.99"/>
    <s v="Fechamento"/>
  </r>
  <r>
    <n v="482"/>
    <x v="112"/>
    <n v="5.3102"/>
    <x v="481"/>
    <n v="-0.02"/>
    <n v="-0.02"/>
    <n v="-0.41"/>
    <n v="-0.41"/>
    <s v="Fechamento"/>
  </r>
  <r>
    <n v="483"/>
    <x v="461"/>
    <n v="5.3522999999999996"/>
    <x v="482"/>
    <n v="0.04"/>
    <n v="0.04"/>
    <n v="0.79"/>
    <n v="0.79"/>
    <s v="Fechamento"/>
  </r>
  <r>
    <n v="484"/>
    <x v="462"/>
    <n v="5.2919"/>
    <x v="483"/>
    <n v="-0.06"/>
    <n v="-0.06"/>
    <n v="-1.1299999999999999"/>
    <n v="-1.1299999999999999"/>
    <s v="Fechamento"/>
  </r>
  <r>
    <n v="485"/>
    <x v="463"/>
    <n v="5.2796000000000003"/>
    <x v="484"/>
    <n v="-0.01"/>
    <n v="-0.01"/>
    <n v="-0.23"/>
    <n v="-0.23"/>
    <s v="Fechamento"/>
  </r>
  <r>
    <n v="486"/>
    <x v="464"/>
    <n v="5.2942999999999998"/>
    <x v="485"/>
    <n v="0.01"/>
    <n v="0.02"/>
    <n v="0.28000000000000003"/>
    <n v="0.31"/>
    <s v="Fechamento"/>
  </r>
  <r>
    <n v="487"/>
    <x v="465"/>
    <n v="5.3128000000000002"/>
    <x v="486"/>
    <n v="0.02"/>
    <n v="0.02"/>
    <n v="0.35"/>
    <n v="0.32"/>
    <s v="Fechamento"/>
  </r>
  <r>
    <n v="488"/>
    <x v="466"/>
    <n v="5.3369999999999997"/>
    <x v="487"/>
    <n v="0.02"/>
    <n v="0.02"/>
    <n v="0.46"/>
    <n v="0.46"/>
    <s v="Fechamento"/>
  </r>
  <r>
    <n v="489"/>
    <x v="339"/>
    <n v="5.3526999999999996"/>
    <x v="488"/>
    <n v="0.02"/>
    <n v="0.02"/>
    <n v="0.28999999999999998"/>
    <n v="0.28999999999999998"/>
    <s v="Fechamento"/>
  </r>
  <r>
    <n v="490"/>
    <x v="370"/>
    <n v="5.3779000000000003"/>
    <x v="489"/>
    <n v="0.03"/>
    <n v="0.03"/>
    <n v="0.47"/>
    <n v="0.47"/>
    <s v="Fechamento"/>
  </r>
  <r>
    <n v="491"/>
    <x v="467"/>
    <n v="5.3932000000000002"/>
    <x v="490"/>
    <n v="0.02"/>
    <n v="0.02"/>
    <n v="0.28000000000000003"/>
    <n v="0.28000000000000003"/>
    <s v="Fechamento"/>
  </r>
  <r>
    <n v="492"/>
    <x v="468"/>
    <n v="5.3918999999999997"/>
    <x v="491"/>
    <n v="0"/>
    <n v="0"/>
    <n v="-0.02"/>
    <n v="0.01"/>
    <s v="Fechamento"/>
  </r>
  <r>
    <n v="493"/>
    <x v="469"/>
    <n v="5.3465999999999996"/>
    <x v="492"/>
    <n v="-0.05"/>
    <n v="-0.05"/>
    <n v="-0.84"/>
    <n v="-0.87"/>
    <s v="Fechamento"/>
  </r>
  <r>
    <n v="494"/>
    <x v="470"/>
    <n v="5.3521000000000001"/>
    <x v="493"/>
    <n v="0.01"/>
    <n v="0.01"/>
    <n v="0.1"/>
    <n v="0.12"/>
    <s v="Fechamento"/>
  </r>
  <r>
    <n v="495"/>
    <x v="471"/>
    <n v="5.3582000000000001"/>
    <x v="494"/>
    <n v="0.01"/>
    <n v="0.01"/>
    <n v="0.11"/>
    <n v="0.12"/>
    <s v="Fechamento"/>
  </r>
  <r>
    <n v="496"/>
    <x v="472"/>
    <n v="5.3539000000000003"/>
    <x v="495"/>
    <n v="0"/>
    <n v="0"/>
    <n v="-0.08"/>
    <n v="-0.09"/>
    <s v="Fechamento"/>
  </r>
  <r>
    <n v="497"/>
    <x v="473"/>
    <n v="5.3334999999999999"/>
    <x v="496"/>
    <n v="-0.02"/>
    <n v="-0.02"/>
    <n v="-0.38"/>
    <n v="-0.4"/>
    <s v="Fechamento"/>
  </r>
  <r>
    <n v="498"/>
    <x v="474"/>
    <n v="5.3667999999999996"/>
    <x v="497"/>
    <n v="0.03"/>
    <n v="0.03"/>
    <n v="0.62"/>
    <n v="0.62"/>
    <s v="Fechamento"/>
  </r>
  <r>
    <n v="499"/>
    <x v="475"/>
    <n v="5.3781999999999996"/>
    <x v="498"/>
    <n v="0.01"/>
    <n v="0.01"/>
    <n v="0.21"/>
    <n v="0.21"/>
    <s v="Fechamento"/>
  </r>
  <r>
    <n v="500"/>
    <x v="476"/>
    <n v="5.3516000000000004"/>
    <x v="499"/>
    <n v="-0.03"/>
    <n v="-0.03"/>
    <n v="-0.49"/>
    <n v="-0.49"/>
    <s v="Fechamento"/>
  </r>
  <r>
    <n v="501"/>
    <x v="477"/>
    <n v="5.3543000000000003"/>
    <x v="500"/>
    <n v="0"/>
    <n v="0"/>
    <n v="0.05"/>
    <n v="0.05"/>
    <s v="Fechamento"/>
  </r>
  <r>
    <n v="502"/>
    <x v="478"/>
    <n v="5.3676000000000004"/>
    <x v="501"/>
    <n v="0.01"/>
    <n v="0.01"/>
    <n v="0.25"/>
    <n v="0.25"/>
    <s v="Fechamento"/>
  </r>
  <r>
    <n v="503"/>
    <x v="479"/>
    <n v="5.39"/>
    <x v="502"/>
    <n v="0.02"/>
    <n v="0.02"/>
    <n v="0.42"/>
    <n v="0.42"/>
    <s v="Fechamento"/>
  </r>
  <r>
    <n v="504"/>
    <x v="480"/>
    <n v="5.3691000000000004"/>
    <x v="503"/>
    <n v="-0.02"/>
    <n v="-0.02"/>
    <n v="-0.39"/>
    <n v="-0.39"/>
    <s v="Fechamento"/>
  </r>
  <r>
    <n v="505"/>
    <x v="481"/>
    <n v="5.3602999999999996"/>
    <x v="504"/>
    <n v="-0.01"/>
    <n v="-0.01"/>
    <n v="-0.16"/>
    <n v="-0.16"/>
    <s v="Fechamento"/>
  </r>
  <r>
    <n v="506"/>
    <x v="482"/>
    <n v="5.3433999999999999"/>
    <x v="505"/>
    <n v="-0.02"/>
    <n v="-0.02"/>
    <n v="-0.32"/>
    <n v="-0.28999999999999998"/>
    <s v="Fechamento"/>
  </r>
  <r>
    <n v="507"/>
    <x v="483"/>
    <n v="5.3635000000000002"/>
    <x v="506"/>
    <n v="0.02"/>
    <n v="0.02"/>
    <n v="0.38"/>
    <n v="0.37"/>
    <s v="Fechamento"/>
  </r>
  <r>
    <n v="508"/>
    <x v="484"/>
    <n v="5.3425000000000002"/>
    <x v="507"/>
    <n v="-0.02"/>
    <n v="-0.02"/>
    <n v="-0.39"/>
    <n v="-0.41"/>
    <s v="Fechamento"/>
  </r>
  <r>
    <n v="509"/>
    <x v="485"/>
    <n v="5.3242000000000003"/>
    <x v="508"/>
    <n v="-0.02"/>
    <n v="-0.02"/>
    <n v="-0.34"/>
    <n v="-0.34"/>
    <s v="Fechamento"/>
  </r>
  <r>
    <n v="510"/>
    <x v="486"/>
    <n v="5.3407"/>
    <x v="509"/>
    <n v="0.02"/>
    <n v="0.02"/>
    <n v="0.31"/>
    <n v="0.31"/>
    <s v="Fechamento"/>
  </r>
  <r>
    <n v="511"/>
    <x v="487"/>
    <n v="5.3372999999999999"/>
    <x v="510"/>
    <n v="0"/>
    <n v="0"/>
    <n v="-0.06"/>
    <n v="-0.06"/>
    <s v="Fechamento"/>
  </r>
  <r>
    <n v="512"/>
    <x v="488"/>
    <n v="5.3544999999999998"/>
    <x v="511"/>
    <n v="0.02"/>
    <n v="0.02"/>
    <n v="0.32"/>
    <n v="0.32"/>
    <s v="Fechamento"/>
  </r>
  <r>
    <n v="513"/>
    <x v="145"/>
    <n v="5.3621999999999996"/>
    <x v="512"/>
    <n v="0.01"/>
    <n v="0.01"/>
    <n v="0.14000000000000001"/>
    <n v="0.14000000000000001"/>
    <s v="Fechamento"/>
  </r>
  <r>
    <n v="514"/>
    <x v="489"/>
    <n v="5.3569000000000004"/>
    <x v="513"/>
    <n v="-0.01"/>
    <n v="0"/>
    <n v="-0.1"/>
    <n v="-7.0000000000000007E-2"/>
    <s v="Fechamento"/>
  </r>
  <r>
    <n v="515"/>
    <x v="490"/>
    <n v="5.3875000000000002"/>
    <x v="514"/>
    <n v="0.03"/>
    <n v="0.03"/>
    <n v="0.56999999999999995"/>
    <n v="0.56999999999999995"/>
    <s v="Fechamento"/>
  </r>
  <r>
    <n v="516"/>
    <x v="491"/>
    <n v="5.3860999999999999"/>
    <x v="515"/>
    <n v="0"/>
    <n v="0"/>
    <n v="-0.03"/>
    <n v="-0.05"/>
    <s v="Fechamento"/>
  </r>
  <r>
    <n v="517"/>
    <x v="492"/>
    <n v="5.3634000000000004"/>
    <x v="516"/>
    <n v="-0.02"/>
    <n v="-0.02"/>
    <n v="-0.42"/>
    <n v="-0.42"/>
    <s v="Fechamento"/>
  </r>
  <r>
    <n v="518"/>
    <x v="375"/>
    <n v="5.3327999999999998"/>
    <x v="517"/>
    <n v="-0.03"/>
    <n v="-0.03"/>
    <n v="-0.56999999999999995"/>
    <n v="-0.54"/>
    <s v="Fechamento"/>
  </r>
  <r>
    <n v="519"/>
    <x v="493"/>
    <n v="5.3373999999999997"/>
    <x v="518"/>
    <n v="0"/>
    <n v="0"/>
    <n v="0.09"/>
    <n v="0.09"/>
    <s v="Fechamento"/>
  </r>
  <r>
    <n v="520"/>
    <x v="403"/>
    <n v="5.3163"/>
    <x v="519"/>
    <n v="-0.02"/>
    <n v="-0.02"/>
    <n v="-0.4"/>
    <n v="-0.42"/>
    <s v="Fechamento"/>
  </r>
  <r>
    <n v="521"/>
    <x v="494"/>
    <n v="5.3803000000000001"/>
    <x v="520"/>
    <n v="0.06"/>
    <n v="0.06"/>
    <n v="1.2"/>
    <n v="1.2"/>
    <s v="Fechamento"/>
  </r>
  <r>
    <n v="522"/>
    <x v="495"/>
    <n v="5.3804999999999996"/>
    <x v="521"/>
    <n v="0"/>
    <n v="0"/>
    <n v="0"/>
    <n v="0.03"/>
    <s v="Fechamento"/>
  </r>
  <r>
    <n v="523"/>
    <x v="496"/>
    <n v="5.3441000000000001"/>
    <x v="522"/>
    <n v="-0.04"/>
    <n v="-0.04"/>
    <n v="-0.68"/>
    <n v="-0.7"/>
    <s v="Fechamento"/>
  </r>
  <r>
    <n v="524"/>
    <x v="328"/>
    <n v="5.3452999999999999"/>
    <x v="523"/>
    <n v="0"/>
    <n v="0"/>
    <n v="0.02"/>
    <n v="0.02"/>
    <s v="Fechamento"/>
  </r>
  <r>
    <n v="525"/>
    <x v="497"/>
    <n v="5.3692000000000002"/>
    <x v="524"/>
    <n v="0.02"/>
    <n v="0.02"/>
    <n v="0.45"/>
    <n v="0.46"/>
    <s v="Fechamento"/>
  </r>
  <r>
    <n v="526"/>
    <x v="498"/>
    <n v="5.3388999999999998"/>
    <x v="525"/>
    <n v="-0.03"/>
    <n v="-0.03"/>
    <n v="-0.56000000000000005"/>
    <n v="-0.57999999999999996"/>
    <s v="Fechamento"/>
  </r>
  <r>
    <n v="527"/>
    <x v="499"/>
    <n v="5.3368000000000002"/>
    <x v="526"/>
    <n v="0"/>
    <n v="0"/>
    <n v="-0.04"/>
    <n v="-0.02"/>
    <s v="Fechamento"/>
  </r>
  <r>
    <n v="528"/>
    <x v="500"/>
    <n v="5.3604000000000003"/>
    <x v="527"/>
    <n v="0.02"/>
    <n v="0.02"/>
    <n v="0.44"/>
    <n v="0.42"/>
    <s v="Fechamento"/>
  </r>
  <r>
    <n v="529"/>
    <x v="492"/>
    <n v="5.3635000000000002"/>
    <x v="528"/>
    <n v="0"/>
    <n v="0"/>
    <n v="0.06"/>
    <n v="0.06"/>
    <s v="Fechamento"/>
  </r>
  <r>
    <n v="530"/>
    <x v="501"/>
    <n v="5.3342999999999998"/>
    <x v="529"/>
    <n v="-0.03"/>
    <n v="-0.03"/>
    <n v="-0.54"/>
    <n v="-0.52"/>
    <s v="Fechamento"/>
  </r>
  <r>
    <n v="531"/>
    <x v="502"/>
    <n v="5.3498000000000001"/>
    <x v="530"/>
    <n v="0.02"/>
    <n v="0.02"/>
    <n v="0.28999999999999998"/>
    <n v="0.28999999999999998"/>
    <s v="Fechamento"/>
  </r>
  <r>
    <n v="532"/>
    <x v="503"/>
    <n v="5.3608000000000002"/>
    <x v="531"/>
    <n v="0.01"/>
    <n v="0.01"/>
    <n v="0.21"/>
    <n v="0.18"/>
    <s v="Fechamento"/>
  </r>
  <r>
    <n v="533"/>
    <x v="504"/>
    <n v="5.3398000000000003"/>
    <x v="532"/>
    <n v="-0.02"/>
    <n v="-0.02"/>
    <n v="-0.39"/>
    <n v="-0.39"/>
    <s v="Fechamento"/>
  </r>
  <r>
    <n v="534"/>
    <x v="505"/>
    <n v="5.3474000000000004"/>
    <x v="533"/>
    <n v="0.01"/>
    <n v="0.01"/>
    <n v="0.14000000000000001"/>
    <n v="0.17"/>
    <s v="Fechamento"/>
  </r>
  <r>
    <n v="535"/>
    <x v="506"/>
    <n v="5.3281999999999998"/>
    <x v="534"/>
    <n v="-0.02"/>
    <n v="-0.02"/>
    <n v="-0.36"/>
    <n v="-0.39"/>
    <s v="Fechamento"/>
  </r>
  <r>
    <n v="536"/>
    <x v="89"/>
    <n v="5.3432000000000004"/>
    <x v="535"/>
    <n v="0.02"/>
    <n v="0.02"/>
    <n v="0.28000000000000003"/>
    <n v="0.28000000000000003"/>
    <s v="Fechamento"/>
  </r>
  <r>
    <n v="537"/>
    <x v="507"/>
    <n v="5.3978999999999999"/>
    <x v="536"/>
    <n v="0.05"/>
    <n v="0.05"/>
    <n v="1.02"/>
    <n v="1.02"/>
    <s v="Fechamento"/>
  </r>
  <r>
    <n v="538"/>
    <x v="508"/>
    <n v="5.4063999999999997"/>
    <x v="537"/>
    <n v="0.01"/>
    <n v="0.01"/>
    <n v="0.16"/>
    <n v="0.19"/>
    <s v="Fechamento"/>
  </r>
  <r>
    <n v="539"/>
    <x v="509"/>
    <n v="5.3779000000000003"/>
    <x v="538"/>
    <n v="-0.03"/>
    <n v="-0.03"/>
    <n v="-0.53"/>
    <n v="-0.53"/>
    <s v="Fechamento"/>
  </r>
  <r>
    <n v="540"/>
    <x v="510"/>
    <n v="5.3689999999999998"/>
    <x v="539"/>
    <n v="-0.01"/>
    <n v="-0.01"/>
    <n v="-0.17"/>
    <n v="-0.17"/>
    <s v="Fechamento"/>
  </r>
  <r>
    <n v="541"/>
    <x v="511"/>
    <n v="5.3939000000000004"/>
    <x v="540"/>
    <n v="0.02"/>
    <n v="0.02"/>
    <n v="0.46"/>
    <n v="0.45"/>
    <s v="Fechamento"/>
  </r>
  <r>
    <n v="542"/>
    <x v="512"/>
    <n v="5.3746999999999998"/>
    <x v="541"/>
    <n v="-0.02"/>
    <n v="-0.02"/>
    <n v="-0.36"/>
    <n v="-0.36"/>
    <s v="Fechamento"/>
  </r>
  <r>
    <n v="543"/>
    <x v="513"/>
    <n v="5.3754999999999997"/>
    <x v="542"/>
    <n v="0"/>
    <n v="0"/>
    <n v="0.01"/>
    <n v="0.01"/>
    <s v="Fechamento"/>
  </r>
  <r>
    <n v="544"/>
    <x v="514"/>
    <n v="5.3813000000000004"/>
    <x v="543"/>
    <n v="0.01"/>
    <n v="0.01"/>
    <n v="0.11"/>
    <n v="0.11"/>
    <s v="Fechamento"/>
  </r>
  <r>
    <n v="545"/>
    <x v="515"/>
    <n v="5.3872999999999998"/>
    <x v="544"/>
    <n v="0.01"/>
    <n v="0.01"/>
    <n v="0.11"/>
    <n v="0.14000000000000001"/>
    <s v="Fechamento"/>
  </r>
  <r>
    <n v="546"/>
    <x v="516"/>
    <n v="5.3964999999999996"/>
    <x v="545"/>
    <n v="0.01"/>
    <n v="0.01"/>
    <n v="0.17"/>
    <n v="0.14000000000000001"/>
    <s v="Fechamento"/>
  </r>
  <r>
    <n v="547"/>
    <x v="517"/>
    <n v="5.4537000000000004"/>
    <x v="546"/>
    <n v="0.06"/>
    <n v="0.06"/>
    <n v="1.06"/>
    <n v="1.08"/>
    <s v="Fechamento"/>
  </r>
  <r>
    <n v="548"/>
    <x v="518"/>
    <n v="5.4401000000000002"/>
    <x v="547"/>
    <n v="-0.01"/>
    <n v="-0.01"/>
    <n v="-0.25"/>
    <n v="-0.27"/>
    <s v="Fechamento"/>
  </r>
  <r>
    <n v="549"/>
    <x v="519"/>
    <n v="5.4396000000000004"/>
    <x v="548"/>
    <n v="0"/>
    <n v="0"/>
    <n v="-0.01"/>
    <n v="-0.01"/>
    <s v="Fechamento"/>
  </r>
  <r>
    <n v="550"/>
    <x v="520"/>
    <n v="5.4504000000000001"/>
    <x v="549"/>
    <n v="0.01"/>
    <n v="0.01"/>
    <n v="0.2"/>
    <n v="0.23"/>
    <s v="Fechamento"/>
  </r>
  <r>
    <n v="551"/>
    <x v="521"/>
    <n v="5.4187000000000003"/>
    <x v="550"/>
    <n v="-0.03"/>
    <n v="-0.03"/>
    <n v="-0.57999999999999996"/>
    <n v="-0.57999999999999996"/>
    <s v="Fechamento"/>
  </r>
  <r>
    <n v="552"/>
    <x v="522"/>
    <n v="5.4375999999999998"/>
    <x v="551"/>
    <n v="0.02"/>
    <n v="0.02"/>
    <n v="0.35"/>
    <n v="0.32"/>
    <s v="Fechamento"/>
  </r>
  <r>
    <n v="553"/>
    <x v="523"/>
    <n v="5.4569999999999999"/>
    <x v="552"/>
    <n v="0.02"/>
    <n v="0.02"/>
    <n v="0.36"/>
    <n v="0.36"/>
    <s v="Fechamento"/>
  </r>
  <r>
    <n v="554"/>
    <x v="524"/>
    <n v="5.4687000000000001"/>
    <x v="553"/>
    <n v="0.01"/>
    <n v="0.01"/>
    <n v="0.21"/>
    <n v="0.22"/>
    <s v="Fechamento"/>
  </r>
  <r>
    <n v="555"/>
    <x v="525"/>
    <n v="5.4409999999999998"/>
    <x v="554"/>
    <n v="-0.03"/>
    <n v="-0.03"/>
    <n v="-0.51"/>
    <n v="-0.49"/>
    <s v="Fechamento"/>
  </r>
  <r>
    <n v="556"/>
    <x v="526"/>
    <n v="5.4104999999999999"/>
    <x v="555"/>
    <n v="-0.03"/>
    <n v="-0.03"/>
    <n v="-0.56000000000000005"/>
    <n v="-0.57999999999999996"/>
    <s v="Fechamento"/>
  </r>
  <r>
    <n v="557"/>
    <x v="507"/>
    <n v="5.3978999999999999"/>
    <x v="556"/>
    <n v="-0.01"/>
    <n v="-0.01"/>
    <n v="-0.23"/>
    <n v="-0.23"/>
    <s v="Fechamento"/>
  </r>
  <r>
    <n v="558"/>
    <x v="527"/>
    <n v="5.4043000000000001"/>
    <x v="557"/>
    <n v="0.01"/>
    <n v="0.01"/>
    <n v="0.12"/>
    <n v="0.15"/>
    <s v="Fechamento"/>
  </r>
  <r>
    <n v="559"/>
    <x v="528"/>
    <n v="5.4009"/>
    <x v="558"/>
    <n v="0"/>
    <n v="0"/>
    <n v="-0.06"/>
    <n v="-0.09"/>
    <s v="Fechamento"/>
  </r>
  <r>
    <n v="560"/>
    <x v="529"/>
    <n v="5.3954000000000004"/>
    <x v="559"/>
    <n v="-0.01"/>
    <n v="-0.01"/>
    <n v="-0.1"/>
    <n v="-0.1"/>
    <s v="Fechamento"/>
  </r>
  <r>
    <n v="561"/>
    <x v="507"/>
    <n v="5.3978999999999999"/>
    <x v="560"/>
    <n v="0"/>
    <n v="0"/>
    <n v="0.05"/>
    <n v="0.04"/>
    <s v="Fechamento"/>
  </r>
  <r>
    <n v="562"/>
    <x v="530"/>
    <n v="5.4236000000000004"/>
    <x v="561"/>
    <n v="0.03"/>
    <n v="0.03"/>
    <n v="0.48"/>
    <n v="0.51"/>
    <s v="Fechamento"/>
  </r>
  <r>
    <n v="563"/>
    <x v="531"/>
    <n v="5.4367999999999999"/>
    <x v="562"/>
    <n v="0.01"/>
    <n v="0.01"/>
    <n v="0.24"/>
    <n v="0.21"/>
    <s v="Fechamento"/>
  </r>
  <r>
    <n v="564"/>
    <x v="532"/>
    <n v="5.4928999999999997"/>
    <x v="563"/>
    <n v="0.06"/>
    <n v="0.06"/>
    <n v="1.03"/>
    <n v="1.03"/>
    <s v="Fechamento"/>
  </r>
  <r>
    <n v="565"/>
    <x v="533"/>
    <n v="5.4592999999999998"/>
    <x v="564"/>
    <n v="-0.03"/>
    <n v="-0.03"/>
    <n v="-0.61"/>
    <n v="-0.61"/>
    <s v="Fechamento"/>
  </r>
  <r>
    <n v="566"/>
    <x v="534"/>
    <n v="5.4774000000000003"/>
    <x v="565"/>
    <n v="0.02"/>
    <n v="0.02"/>
    <n v="0.33"/>
    <n v="0.33"/>
    <s v="Fechamento"/>
  </r>
  <r>
    <n v="567"/>
    <x v="535"/>
    <n v="5.4726999999999997"/>
    <x v="566"/>
    <n v="0"/>
    <n v="0"/>
    <n v="-0.09"/>
    <n v="-0.09"/>
    <s v="Fechamento"/>
  </r>
  <r>
    <n v="568"/>
    <x v="522"/>
    <n v="5.4367000000000001"/>
    <x v="567"/>
    <n v="-0.04"/>
    <n v="-0.04"/>
    <n v="-0.66"/>
    <n v="-0.64"/>
    <s v="Fechamento"/>
  </r>
  <r>
    <n v="569"/>
    <x v="536"/>
    <n v="5.4397000000000002"/>
    <x v="568"/>
    <n v="0"/>
    <n v="0"/>
    <n v="0.06"/>
    <n v="0.04"/>
    <s v="Fechamento"/>
  </r>
  <r>
    <n v="570"/>
    <x v="537"/>
    <n v="5.444"/>
    <x v="569"/>
    <n v="0"/>
    <n v="0"/>
    <n v="0.08"/>
    <n v="0.08"/>
    <s v="Fechamento"/>
  </r>
  <r>
    <n v="571"/>
    <x v="538"/>
    <n v="5.4698000000000002"/>
    <x v="570"/>
    <n v="0.03"/>
    <n v="0.03"/>
    <n v="0.47"/>
    <n v="0.47"/>
    <s v="Fechamento"/>
  </r>
  <r>
    <n v="572"/>
    <x v="539"/>
    <n v="5.5077999999999996"/>
    <x v="571"/>
    <n v="0.04"/>
    <n v="0.04"/>
    <n v="0.69"/>
    <n v="0.72"/>
    <s v="Fechamento"/>
  </r>
  <r>
    <n v="573"/>
    <x v="540"/>
    <n v="5.5951000000000004"/>
    <x v="572"/>
    <n v="0.09"/>
    <n v="0.09"/>
    <n v="1.59"/>
    <n v="1.55"/>
    <s v="Fechamento"/>
  </r>
  <r>
    <n v="574"/>
    <x v="541"/>
    <n v="5.5853000000000002"/>
    <x v="573"/>
    <n v="-0.01"/>
    <n v="-0.01"/>
    <n v="-0.18"/>
    <n v="-0.16"/>
    <s v="Fechamento"/>
  </r>
  <r>
    <n v="575"/>
    <x v="542"/>
    <n v="5.5983000000000001"/>
    <x v="574"/>
    <n v="0.01"/>
    <n v="0.01"/>
    <n v="0.23"/>
    <n v="0.23"/>
    <s v="Fechamento"/>
  </r>
  <r>
    <n v="576"/>
    <x v="543"/>
    <n v="5.5708000000000002"/>
    <x v="575"/>
    <n v="-0.03"/>
    <n v="-0.03"/>
    <n v="-0.49"/>
    <n v="-0.51"/>
    <s v="Fechamento"/>
  </r>
  <r>
    <n v="577"/>
    <x v="544"/>
    <n v="5.5410000000000004"/>
    <x v="576"/>
    <n v="-0.03"/>
    <n v="-0.03"/>
    <n v="-0.53"/>
    <n v="-0.51"/>
    <s v="Fechamento"/>
  </r>
  <r>
    <n v="578"/>
    <x v="545"/>
    <n v="5.5224000000000002"/>
    <x v="577"/>
    <n v="-0.02"/>
    <n v="-0.02"/>
    <n v="-0.34"/>
    <n v="-0.36"/>
    <s v="Fechamento"/>
  </r>
  <r>
    <n v="579"/>
    <x v="546"/>
    <n v="5.5141999999999998"/>
    <x v="578"/>
    <n v="-0.01"/>
    <n v="-0.01"/>
    <n v="-0.15"/>
    <n v="-0.15"/>
    <s v="Fechamento"/>
  </r>
  <r>
    <n v="580"/>
    <x v="547"/>
    <n v="5.5410000000000004"/>
    <x v="579"/>
    <n v="0.03"/>
    <n v="0.03"/>
    <n v="0.49"/>
    <n v="0.49"/>
    <s v="Fechamento"/>
  </r>
  <r>
    <n v="581"/>
    <x v="548"/>
    <n v="5.4710999999999999"/>
    <x v="580"/>
    <n v="-7.0000000000000007E-2"/>
    <n v="-7.0000000000000007E-2"/>
    <n v="-1.26"/>
    <n v="-1.26"/>
    <s v="Fechamento"/>
  </r>
  <r>
    <n v="582"/>
    <x v="549"/>
    <n v="5.4828000000000001"/>
    <x v="581"/>
    <n v="0.01"/>
    <n v="0.01"/>
    <n v="0.21"/>
    <n v="0.21"/>
    <s v="Fechamento"/>
  </r>
  <r>
    <n v="583"/>
    <x v="550"/>
    <n v="5.5260999999999996"/>
    <x v="582"/>
    <n v="0.04"/>
    <n v="0.04"/>
    <n v="0.79"/>
    <n v="0.81"/>
    <s v="Fechamento"/>
  </r>
  <r>
    <n v="584"/>
    <x v="551"/>
    <n v="5.4802999999999997"/>
    <x v="583"/>
    <n v="-0.05"/>
    <n v="-0.05"/>
    <n v="-0.83"/>
    <n v="-0.85"/>
    <s v="Fechamento"/>
  </r>
  <r>
    <n v="585"/>
    <x v="552"/>
    <n v="5.4569000000000001"/>
    <x v="584"/>
    <n v="-0.02"/>
    <n v="-0.02"/>
    <n v="-0.43"/>
    <n v="-0.4"/>
    <s v="Fechamento"/>
  </r>
  <r>
    <n v="586"/>
    <x v="553"/>
    <n v="5.4688999999999997"/>
    <x v="585"/>
    <n v="0.01"/>
    <n v="0.01"/>
    <n v="0.22"/>
    <n v="0.19"/>
    <s v="Fechamento"/>
  </r>
  <r>
    <n v="587"/>
    <x v="554"/>
    <n v="5.4501999999999997"/>
    <x v="586"/>
    <n v="-0.02"/>
    <n v="-0.02"/>
    <n v="-0.34"/>
    <n v="-0.34"/>
    <s v="Fechamento"/>
  </r>
  <r>
    <n v="588"/>
    <x v="555"/>
    <n v="5.4739000000000004"/>
    <x v="587"/>
    <n v="0.02"/>
    <n v="0.02"/>
    <n v="0.43"/>
    <n v="0.44"/>
    <s v="Fechamento"/>
  </r>
  <r>
    <n v="589"/>
    <x v="556"/>
    <n v="5.5553999999999997"/>
    <x v="588"/>
    <n v="0.08"/>
    <n v="0.08"/>
    <n v="1.49"/>
    <n v="1.52"/>
    <s v="Fechamento"/>
  </r>
  <r>
    <n v="590"/>
    <x v="557"/>
    <n v="5.5446999999999997"/>
    <x v="589"/>
    <n v="-0.01"/>
    <n v="-0.01"/>
    <n v="-0.19"/>
    <n v="-0.22"/>
    <s v="Fechamento"/>
  </r>
  <r>
    <n v="591"/>
    <x v="287"/>
    <n v="5.5510000000000002"/>
    <x v="590"/>
    <n v="0.01"/>
    <n v="0.01"/>
    <n v="0.11"/>
    <n v="0.11"/>
    <s v="Fechamento"/>
  </r>
  <r>
    <n v="592"/>
    <x v="558"/>
    <n v="5.5561999999999996"/>
    <x v="591"/>
    <n v="0.01"/>
    <n v="0.01"/>
    <n v="0.09"/>
    <n v="0.1"/>
    <s v="Fechamento"/>
  </r>
  <r>
    <n v="593"/>
    <x v="559"/>
    <n v="5.5856000000000003"/>
    <x v="592"/>
    <n v="0.03"/>
    <n v="0.03"/>
    <n v="0.53"/>
    <n v="0.53"/>
    <s v="Fechamento"/>
  </r>
  <r>
    <n v="594"/>
    <x v="560"/>
    <n v="5.5761000000000003"/>
    <x v="593"/>
    <n v="-0.01"/>
    <n v="-0.01"/>
    <n v="-0.17"/>
    <n v="-0.14000000000000001"/>
    <s v="Fechamento"/>
  </r>
  <r>
    <n v="595"/>
    <x v="561"/>
    <n v="5.5613000000000001"/>
    <x v="594"/>
    <n v="-0.01"/>
    <n v="-0.02"/>
    <n v="-0.27"/>
    <n v="-0.28999999999999998"/>
    <s v="Fechamento"/>
  </r>
  <r>
    <n v="596"/>
    <x v="562"/>
    <n v="5.5488999999999997"/>
    <x v="595"/>
    <n v="-0.01"/>
    <n v="-0.01"/>
    <n v="-0.22"/>
    <n v="-0.21"/>
    <s v="Fechamento"/>
  </r>
  <r>
    <n v="597"/>
    <x v="563"/>
    <n v="5.5406000000000004"/>
    <x v="596"/>
    <n v="-0.01"/>
    <n v="-0.01"/>
    <n v="-0.15"/>
    <n v="-0.17"/>
    <s v="Fechamento"/>
  </r>
  <r>
    <n v="598"/>
    <x v="564"/>
    <n v="5.5818000000000003"/>
    <x v="597"/>
    <n v="0.04"/>
    <n v="0.04"/>
    <n v="0.74"/>
    <n v="0.74"/>
    <s v="Fechamento"/>
  </r>
  <r>
    <n v="599"/>
    <x v="565"/>
    <n v="5.5701999999999998"/>
    <x v="598"/>
    <n v="-0.01"/>
    <n v="-0.01"/>
    <n v="-0.21"/>
    <n v="-0.21"/>
    <s v="Fechamento"/>
  </r>
  <r>
    <n v="600"/>
    <x v="566"/>
    <n v="5.5902000000000003"/>
    <x v="599"/>
    <n v="0.02"/>
    <n v="0.02"/>
    <n v="0.36"/>
    <n v="0.36"/>
    <s v="Fechamento"/>
  </r>
  <r>
    <n v="601"/>
    <x v="567"/>
    <n v="5.6161000000000003"/>
    <x v="600"/>
    <n v="0.03"/>
    <n v="0.03"/>
    <n v="0.46"/>
    <n v="0.46"/>
    <s v="Fechamento"/>
  </r>
  <r>
    <n v="602"/>
    <x v="568"/>
    <n v="5.6078000000000001"/>
    <x v="601"/>
    <n v="-0.01"/>
    <n v="-0.01"/>
    <n v="-0.15"/>
    <n v="-0.15"/>
    <s v="Fechamento"/>
  </r>
  <r>
    <n v="603"/>
    <x v="569"/>
    <n v="5.6186999999999996"/>
    <x v="602"/>
    <n v="0.01"/>
    <n v="0.01"/>
    <n v="0.19"/>
    <n v="0.22"/>
    <s v="Fechamento"/>
  </r>
  <r>
    <n v="604"/>
    <x v="234"/>
    <n v="5.6856"/>
    <x v="603"/>
    <n v="7.0000000000000007E-2"/>
    <n v="7.0000000000000007E-2"/>
    <n v="1.19"/>
    <n v="1.19"/>
    <s v="Fechamento"/>
  </r>
  <r>
    <n v="605"/>
    <x v="570"/>
    <n v="5.7050000000000001"/>
    <x v="604"/>
    <n v="0.02"/>
    <n v="0.02"/>
    <n v="0.34"/>
    <n v="0.3"/>
    <s v="Fechamento"/>
  </r>
  <r>
    <n v="606"/>
    <x v="571"/>
    <n v="5.7323000000000004"/>
    <x v="605"/>
    <n v="0.03"/>
    <n v="0.03"/>
    <n v="0.48"/>
    <n v="0.5"/>
    <s v="Fechamento"/>
  </r>
  <r>
    <n v="607"/>
    <x v="572"/>
    <n v="5.7405999999999997"/>
    <x v="606"/>
    <n v="0.01"/>
    <n v="0.01"/>
    <n v="0.14000000000000001"/>
    <n v="0.17"/>
    <s v="Fechamento"/>
  </r>
  <r>
    <n v="608"/>
    <x v="573"/>
    <n v="5.7337999999999996"/>
    <x v="607"/>
    <n v="-0.01"/>
    <n v="-0.01"/>
    <n v="-0.12"/>
    <n v="-0.15"/>
    <s v="Fechamento"/>
  </r>
  <r>
    <n v="609"/>
    <x v="574"/>
    <n v="5.7073999999999998"/>
    <x v="608"/>
    <n v="-0.03"/>
    <n v="-0.03"/>
    <n v="-0.46"/>
    <n v="-0.46"/>
    <s v="Fechamento"/>
  </r>
  <r>
    <n v="610"/>
    <x v="575"/>
    <n v="5.7702"/>
    <x v="609"/>
    <n v="0.06"/>
    <n v="0.06"/>
    <n v="1.1000000000000001"/>
    <n v="1.1000000000000001"/>
    <s v="Fechamento"/>
  </r>
  <r>
    <n v="611"/>
    <x v="576"/>
    <n v="5.7458"/>
    <x v="610"/>
    <n v="-0.02"/>
    <n v="-0.02"/>
    <n v="-0.42"/>
    <n v="-0.42"/>
    <s v="Fechamento"/>
  </r>
  <r>
    <n v="612"/>
    <x v="577"/>
    <n v="5.8438999999999997"/>
    <x v="611"/>
    <n v="0.1"/>
    <n v="0.1"/>
    <n v="1.71"/>
    <n v="1.71"/>
    <s v="Fechamento"/>
  </r>
  <r>
    <n v="613"/>
    <x v="578"/>
    <n v="5.8053999999999997"/>
    <x v="612"/>
    <n v="-0.04"/>
    <n v="-0.04"/>
    <n v="-0.66"/>
    <n v="-0.63"/>
    <s v="Fechamento"/>
  </r>
  <r>
    <n v="614"/>
    <x v="579"/>
    <n v="5.7389000000000001"/>
    <x v="613"/>
    <n v="-7.0000000000000007E-2"/>
    <n v="-7.0000000000000007E-2"/>
    <n v="-1.1499999999999999"/>
    <n v="-1.17"/>
    <s v="Fechamento"/>
  </r>
  <r>
    <n v="615"/>
    <x v="580"/>
    <n v="5.8048999999999999"/>
    <x v="614"/>
    <n v="7.0000000000000007E-2"/>
    <n v="7.0000000000000007E-2"/>
    <n v="1.1499999999999999"/>
    <n v="1.1499999999999999"/>
    <s v="Fechamento"/>
  </r>
  <r>
    <n v="616"/>
    <x v="581"/>
    <n v="5.8075000000000001"/>
    <x v="615"/>
    <n v="0"/>
    <n v="0"/>
    <n v="0.04"/>
    <n v="0.06"/>
    <s v="Fechamento"/>
  </r>
  <r>
    <n v="617"/>
    <x v="582"/>
    <n v="5.8750999999999998"/>
    <x v="616"/>
    <n v="7.0000000000000007E-2"/>
    <n v="7.0000000000000007E-2"/>
    <n v="1.1599999999999999"/>
    <n v="1.1499999999999999"/>
    <s v="Fechamento"/>
  </r>
  <r>
    <n v="618"/>
    <x v="583"/>
    <n v="5.8090000000000002"/>
    <x v="617"/>
    <n v="-7.0000000000000007E-2"/>
    <n v="-0.06"/>
    <n v="-1.1299999999999999"/>
    <n v="-1.1000000000000001"/>
    <s v="Fechamento"/>
  </r>
  <r>
    <n v="619"/>
    <x v="584"/>
    <n v="5.8197999999999999"/>
    <x v="618"/>
    <n v="0.01"/>
    <n v="0.01"/>
    <n v="0.19"/>
    <n v="0.16"/>
    <s v="Fechamento"/>
  </r>
  <r>
    <n v="620"/>
    <x v="585"/>
    <n v="5.7930999999999999"/>
    <x v="619"/>
    <n v="-0.03"/>
    <n v="-0.03"/>
    <n v="-0.46"/>
    <n v="-0.43"/>
    <s v="Fechamento"/>
  </r>
  <r>
    <n v="621"/>
    <x v="586"/>
    <n v="5.8117000000000001"/>
    <x v="620"/>
    <n v="0.02"/>
    <n v="0.02"/>
    <n v="0.32"/>
    <n v="0.31"/>
    <s v="Fechamento"/>
  </r>
  <r>
    <n v="622"/>
    <x v="587"/>
    <n v="5.8865999999999996"/>
    <x v="621"/>
    <n v="7.0000000000000007E-2"/>
    <n v="7.0000000000000007E-2"/>
    <n v="1.29"/>
    <n v="1.27"/>
    <s v="Fechamento"/>
  </r>
  <r>
    <n v="623"/>
    <x v="588"/>
    <n v="5.9145000000000003"/>
    <x v="622"/>
    <n v="0.03"/>
    <n v="0.03"/>
    <n v="0.47"/>
    <n v="0.47"/>
    <s v="Fechamento"/>
  </r>
  <r>
    <n v="624"/>
    <x v="589"/>
    <n v="5.9546999999999999"/>
    <x v="623"/>
    <n v="0.04"/>
    <n v="0.04"/>
    <n v="0.68"/>
    <n v="0.71"/>
    <s v="Fechamento"/>
  </r>
  <r>
    <n v="625"/>
    <x v="590"/>
    <n v="5.9968000000000004"/>
    <x v="624"/>
    <n v="0.04"/>
    <n v="0.04"/>
    <n v="0.71"/>
    <n v="0.68"/>
    <s v="Fechamento"/>
  </r>
  <r>
    <n v="626"/>
    <x v="591"/>
    <n v="6.0860000000000003"/>
    <x v="625"/>
    <n v="0.09"/>
    <n v="0.09"/>
    <n v="1.49"/>
    <n v="1.49"/>
    <s v="Fechamento"/>
  </r>
  <r>
    <n v="627"/>
    <x v="592"/>
    <n v="6.0326000000000004"/>
    <x v="626"/>
    <n v="-0.05"/>
    <n v="-0.05"/>
    <n v="-0.88"/>
    <n v="-0.86"/>
    <s v="Fechamento"/>
  </r>
  <r>
    <n v="628"/>
    <x v="593"/>
    <n v="5.9297000000000004"/>
    <x v="627"/>
    <n v="-0.1"/>
    <n v="-0.1"/>
    <n v="-1.71"/>
    <n v="-1.72"/>
    <s v="Fechamento"/>
  </r>
  <r>
    <n v="629"/>
    <x v="594"/>
    <n v="5.9532999999999996"/>
    <x v="628"/>
    <n v="0.02"/>
    <n v="0.02"/>
    <n v="0.4"/>
    <n v="0.4"/>
    <s v="Fechamento"/>
  </r>
  <r>
    <n v="630"/>
    <x v="595"/>
    <n v="5.93"/>
    <x v="629"/>
    <n v="-0.02"/>
    <n v="-0.02"/>
    <n v="-0.39"/>
    <n v="-0.39"/>
    <s v="Fechamento"/>
  </r>
  <r>
    <n v="631"/>
    <x v="596"/>
    <n v="5.8819999999999997"/>
    <x v="630"/>
    <n v="-0.05"/>
    <n v="-0.05"/>
    <n v="-0.81"/>
    <n v="-0.81"/>
    <s v="Fechamento"/>
  </r>
  <r>
    <n v="632"/>
    <x v="597"/>
    <n v="5.8418999999999999"/>
    <x v="631"/>
    <n v="-0.04"/>
    <n v="-0.04"/>
    <n v="-0.68"/>
    <n v="-0.68"/>
    <s v="Fechamento"/>
  </r>
  <r>
    <n v="633"/>
    <x v="598"/>
    <n v="5.8818000000000001"/>
    <x v="632"/>
    <n v="0.04"/>
    <n v="0.04"/>
    <n v="0.68"/>
    <n v="0.68"/>
    <s v="Fechamento"/>
  </r>
  <r>
    <n v="634"/>
    <x v="599"/>
    <n v="5.9447999999999999"/>
    <x v="633"/>
    <n v="0.06"/>
    <n v="0.06"/>
    <n v="1.07"/>
    <n v="1.1000000000000001"/>
    <s v="Fechamento"/>
  </r>
  <r>
    <n v="635"/>
    <x v="600"/>
    <n v="5.9550000000000001"/>
    <x v="634"/>
    <n v="0.01"/>
    <n v="0.01"/>
    <n v="0.17"/>
    <n v="0.14000000000000001"/>
    <s v="Fechamento"/>
  </r>
  <r>
    <n v="636"/>
    <x v="601"/>
    <n v="5.9088000000000003"/>
    <x v="635"/>
    <n v="-0.05"/>
    <n v="-0.05"/>
    <n v="-0.78"/>
    <n v="-0.78"/>
    <s v="Fechamento"/>
  </r>
  <r>
    <n v="637"/>
    <x v="602"/>
    <n v="5.9775999999999998"/>
    <x v="636"/>
    <n v="7.0000000000000007E-2"/>
    <n v="7.0000000000000007E-2"/>
    <n v="1.1599999999999999"/>
    <n v="1.18"/>
    <s v="Fechamento"/>
  </r>
  <r>
    <n v="638"/>
    <x v="603"/>
    <n v="6.0491999999999999"/>
    <x v="637"/>
    <n v="7.0000000000000007E-2"/>
    <n v="7.0000000000000007E-2"/>
    <n v="1.2"/>
    <n v="1.18"/>
    <s v="Fechamento"/>
  </r>
  <r>
    <n v="639"/>
    <x v="604"/>
    <n v="6.0486000000000004"/>
    <x v="638"/>
    <n v="0"/>
    <n v="0"/>
    <n v="-0.01"/>
    <n v="-0.01"/>
    <s v="Fechamento"/>
  </r>
  <r>
    <n v="640"/>
    <x v="605"/>
    <n v="6.0502000000000002"/>
    <x v="639"/>
    <n v="0"/>
    <n v="0"/>
    <n v="0.03"/>
    <n v="0.02"/>
    <s v="Fechamento"/>
  </r>
  <r>
    <n v="641"/>
    <x v="606"/>
    <n v="6.0583999999999998"/>
    <x v="640"/>
    <n v="0.01"/>
    <n v="0.01"/>
    <n v="0.14000000000000001"/>
    <n v="0.14000000000000001"/>
    <s v="Fechamento"/>
  </r>
  <r>
    <n v="642"/>
    <x v="607"/>
    <n v="6.1163999999999996"/>
    <x v="641"/>
    <n v="0.06"/>
    <n v="0.06"/>
    <n v="0.96"/>
    <n v="0.96"/>
    <s v="Fechamento"/>
  </r>
  <r>
    <n v="643"/>
    <x v="608"/>
    <n v="6.1264000000000003"/>
    <x v="642"/>
    <n v="0.01"/>
    <n v="0.01"/>
    <n v="0.16"/>
    <n v="0.16"/>
    <s v="Fechamento"/>
  </r>
  <r>
    <n v="644"/>
    <x v="609"/>
    <n v="6.1321000000000003"/>
    <x v="643"/>
    <n v="0.01"/>
    <n v="0.01"/>
    <n v="0.09"/>
    <n v="0.09"/>
    <s v="Fechamento"/>
  </r>
  <r>
    <n v="645"/>
    <x v="610"/>
    <n v="6.1116000000000001"/>
    <x v="644"/>
    <n v="-0.02"/>
    <n v="-0.02"/>
    <n v="-0.33"/>
    <n v="-0.33"/>
    <s v="Fechamento"/>
  </r>
  <r>
    <n v="646"/>
    <x v="611"/>
    <n v="6.1111000000000004"/>
    <x v="645"/>
    <n v="0"/>
    <n v="0"/>
    <n v="-0.01"/>
    <n v="0.01"/>
    <s v="Fechamento"/>
  </r>
  <r>
    <n v="647"/>
    <x v="612"/>
    <n v="6.1287000000000003"/>
    <x v="646"/>
    <n v="0.02"/>
    <n v="0.02"/>
    <n v="0.28999999999999998"/>
    <n v="0.3"/>
    <s v="Fechamento"/>
  </r>
  <r>
    <n v="648"/>
    <x v="607"/>
    <n v="6.1153000000000004"/>
    <x v="647"/>
    <n v="-0.01"/>
    <n v="-0.01"/>
    <n v="-0.22"/>
    <n v="-0.23"/>
    <s v="Fechamento"/>
  </r>
  <r>
    <n v="649"/>
    <x v="613"/>
    <n v="6.2609000000000004"/>
    <x v="648"/>
    <n v="0.15"/>
    <n v="0.15"/>
    <n v="2.38"/>
    <n v="2.39"/>
    <s v="Fechamento"/>
  </r>
  <r>
    <n v="650"/>
    <x v="614"/>
    <n v="6.3163"/>
    <x v="649"/>
    <n v="0.06"/>
    <n v="0.06"/>
    <n v="0.88"/>
    <n v="0.88"/>
    <s v="Fechamento"/>
  </r>
  <r>
    <n v="651"/>
    <x v="615"/>
    <n v="6.1761999999999997"/>
    <x v="650"/>
    <n v="-0.14000000000000001"/>
    <n v="-0.14000000000000001"/>
    <n v="-2.2200000000000002"/>
    <n v="-2.2200000000000002"/>
    <s v="Fechamento"/>
  </r>
  <r>
    <n v="652"/>
    <x v="616"/>
    <n v="6.1281999999999996"/>
    <x v="651"/>
    <n v="-0.05"/>
    <n v="-0.05"/>
    <n v="-0.78"/>
    <n v="-0.78"/>
    <s v="Fechamento"/>
  </r>
  <r>
    <n v="653"/>
    <x v="617"/>
    <n v="6.1306000000000003"/>
    <x v="652"/>
    <n v="0"/>
    <n v="0"/>
    <n v="0.04"/>
    <n v="0.04"/>
    <s v="Fechamento"/>
  </r>
  <r>
    <n v="654"/>
    <x v="618"/>
    <n v="6.0208000000000004"/>
    <x v="653"/>
    <n v="-0.11"/>
    <n v="-0.11"/>
    <n v="-1.79"/>
    <n v="-1.8"/>
    <s v="Fechamento"/>
  </r>
  <r>
    <n v="655"/>
    <x v="619"/>
    <n v="6.0007000000000001"/>
    <x v="654"/>
    <n v="-0.02"/>
    <n v="-0.02"/>
    <n v="-0.33"/>
    <n v="-0.32"/>
    <s v="Fechamento"/>
  </r>
  <r>
    <n v="656"/>
    <x v="620"/>
    <n v="6.0110000000000001"/>
    <x v="655"/>
    <n v="0.01"/>
    <n v="0.01"/>
    <n v="0.17"/>
    <n v="0.17"/>
    <s v="Fechamento"/>
  </r>
  <r>
    <n v="657"/>
    <x v="621"/>
    <n v="6.0083000000000002"/>
    <x v="656"/>
    <n v="0"/>
    <n v="0"/>
    <n v="-0.04"/>
    <n v="-0.04"/>
    <s v="Fechamento"/>
  </r>
  <r>
    <n v="658"/>
    <x v="622"/>
    <n v="6.0039999999999996"/>
    <x v="657"/>
    <n v="0"/>
    <n v="0"/>
    <n v="-7.0000000000000007E-2"/>
    <n v="-7.0000000000000007E-2"/>
    <s v="Fechamento"/>
  </r>
  <r>
    <n v="659"/>
    <x v="623"/>
    <n v="6.0072999999999999"/>
    <x v="658"/>
    <n v="0"/>
    <n v="0"/>
    <n v="0.05"/>
    <n v="0.05"/>
    <s v="Fechamento"/>
  </r>
  <r>
    <n v="660"/>
    <x v="622"/>
    <n v="6.0039999999999996"/>
    <x v="659"/>
    <n v="0"/>
    <n v="0"/>
    <n v="-0.05"/>
    <n v="-0.05"/>
    <s v="Fechamento"/>
  </r>
  <r>
    <n v="661"/>
    <x v="624"/>
    <n v="6.0585000000000004"/>
    <x v="660"/>
    <n v="0.05"/>
    <n v="0.05"/>
    <n v="0.91"/>
    <n v="0.9"/>
    <s v="Fechamento"/>
  </r>
  <r>
    <n v="662"/>
    <x v="625"/>
    <n v="6.0960000000000001"/>
    <x v="661"/>
    <n v="0.04"/>
    <n v="0.04"/>
    <n v="0.62"/>
    <n v="0.63"/>
    <s v="Fechamento"/>
  </r>
  <r>
    <n v="663"/>
    <x v="626"/>
    <n v="6.1703999999999999"/>
    <x v="662"/>
    <n v="7.0000000000000007E-2"/>
    <n v="7.0000000000000007E-2"/>
    <n v="1.22"/>
    <n v="1.22"/>
    <s v="Fechamento"/>
  </r>
  <r>
    <n v="664"/>
    <x v="615"/>
    <n v="6.1761999999999997"/>
    <x v="663"/>
    <n v="0.01"/>
    <n v="0.01"/>
    <n v="0.09"/>
    <n v="0.09"/>
    <s v="Fechamento"/>
  </r>
  <r>
    <n v="665"/>
    <x v="627"/>
    <n v="6.1314000000000002"/>
    <x v="664"/>
    <n v="-0.04"/>
    <n v="-0.04"/>
    <n v="-0.73"/>
    <n v="-0.73"/>
    <s v="Fechamento"/>
  </r>
  <r>
    <n v="666"/>
    <x v="628"/>
    <n v="6.1351000000000004"/>
    <x v="665"/>
    <n v="0"/>
    <n v="0"/>
    <n v="0.06"/>
    <n v="0.06"/>
    <s v="Fechamento"/>
  </r>
  <r>
    <n v="667"/>
    <x v="629"/>
    <n v="6.1548999999999996"/>
    <x v="666"/>
    <n v="0.02"/>
    <n v="0.02"/>
    <n v="0.32"/>
    <n v="0.32"/>
    <s v="Fechamento"/>
  </r>
  <r>
    <n v="668"/>
    <x v="630"/>
    <n v="6.2477999999999998"/>
    <x v="667"/>
    <n v="0.09"/>
    <n v="0.09"/>
    <n v="1.51"/>
    <n v="1.51"/>
    <s v="Fechamento"/>
  </r>
  <r>
    <n v="669"/>
    <x v="631"/>
    <n v="6.2563000000000004"/>
    <x v="668"/>
    <n v="0.01"/>
    <n v="0.01"/>
    <n v="0.14000000000000001"/>
    <n v="0.13"/>
    <s v="Fechamento"/>
  </r>
  <r>
    <n v="670"/>
    <x v="632"/>
    <n v="6.2241"/>
    <x v="669"/>
    <n v="-0.03"/>
    <n v="-0.03"/>
    <n v="-0.51"/>
    <n v="-0.51"/>
    <s v="Fechamento"/>
  </r>
  <r>
    <n v="671"/>
    <x v="633"/>
    <n v="6.2088000000000001"/>
    <x v="670"/>
    <n v="-0.02"/>
    <n v="-0.02"/>
    <n v="-0.25"/>
    <n v="-0.25"/>
    <s v="Fechamento"/>
  </r>
  <r>
    <n v="672"/>
    <x v="634"/>
    <n v="6.2450999999999999"/>
    <x v="671"/>
    <n v="0.04"/>
    <n v="0.04"/>
    <n v="0.57999999999999996"/>
    <n v="0.57999999999999996"/>
    <s v="Fechamento"/>
  </r>
  <r>
    <n v="673"/>
    <x v="635"/>
    <n v="6.2191999999999998"/>
    <x v="672"/>
    <n v="-0.03"/>
    <n v="-0.03"/>
    <n v="-0.41"/>
    <n v="-0.41"/>
    <s v="Fechamento"/>
  </r>
  <r>
    <n v="674"/>
    <x v="636"/>
    <n v="6.1750999999999996"/>
    <x v="673"/>
    <n v="-0.04"/>
    <n v="-0.04"/>
    <n v="-0.71"/>
    <n v="-0.71"/>
    <s v="Fechamento"/>
  </r>
  <r>
    <n v="675"/>
    <x v="637"/>
    <n v="6.1942000000000004"/>
    <x v="674"/>
    <n v="0.02"/>
    <n v="0.02"/>
    <n v="0.31"/>
    <n v="0.31"/>
    <s v="Fechamento"/>
  </r>
  <r>
    <n v="676"/>
    <x v="638"/>
    <n v="6.2026000000000003"/>
    <x v="675"/>
    <n v="0.01"/>
    <n v="0.01"/>
    <n v="0.14000000000000001"/>
    <n v="0.13"/>
    <s v="Fechamento"/>
  </r>
  <r>
    <n v="677"/>
    <x v="639"/>
    <n v="6.2099000000000002"/>
    <x v="676"/>
    <n v="0.01"/>
    <n v="0.01"/>
    <n v="0.12"/>
    <n v="0.13"/>
    <s v="Fechamento"/>
  </r>
  <r>
    <n v="678"/>
    <x v="640"/>
    <n v="6.2441000000000004"/>
    <x v="677"/>
    <n v="0.03"/>
    <n v="0.03"/>
    <n v="0.55000000000000004"/>
    <n v="0.55000000000000004"/>
    <s v="Fechamento"/>
  </r>
  <r>
    <n v="679"/>
    <x v="615"/>
    <n v="6.1768000000000001"/>
    <x v="678"/>
    <n v="-7.0000000000000007E-2"/>
    <n v="-7.0000000000000007E-2"/>
    <n v="-1.08"/>
    <n v="-1.0900000000000001"/>
    <s v="Fechamento"/>
  </r>
  <r>
    <n v="680"/>
    <x v="641"/>
    <n v="6.1406999999999998"/>
    <x v="679"/>
    <n v="-0.04"/>
    <n v="-0.04"/>
    <n v="-0.57999999999999996"/>
    <n v="-0.56999999999999995"/>
    <s v="Fechamento"/>
  </r>
  <r>
    <n v="681"/>
    <x v="642"/>
    <n v="6.1154999999999999"/>
    <x v="680"/>
    <n v="-0.03"/>
    <n v="-0.03"/>
    <n v="-0.41"/>
    <n v="-0.41"/>
    <s v="Fechamento"/>
  </r>
  <r>
    <n v="682"/>
    <x v="643"/>
    <n v="6.0879000000000003"/>
    <x v="681"/>
    <n v="-0.03"/>
    <n v="-0.03"/>
    <n v="-0.45"/>
    <n v="-0.45"/>
    <s v="Fechamento"/>
  </r>
  <r>
    <n v="683"/>
    <x v="644"/>
    <n v="6.0410000000000004"/>
    <x v="682"/>
    <n v="-0.05"/>
    <n v="-0.05"/>
    <n v="-0.77"/>
    <n v="-0.78"/>
    <s v="Fechamento"/>
  </r>
  <r>
    <n v="684"/>
    <x v="645"/>
    <n v="6.1123000000000003"/>
    <x v="683"/>
    <n v="7.0000000000000007E-2"/>
    <n v="7.0000000000000007E-2"/>
    <n v="1.18"/>
    <n v="1.19"/>
    <s v="Fechamento"/>
  </r>
  <r>
    <n v="685"/>
    <x v="646"/>
    <n v="6.1711"/>
    <x v="684"/>
    <n v="0.06"/>
    <n v="0.06"/>
    <n v="0.96"/>
    <n v="0.96"/>
    <s v="Fechamento"/>
  </r>
  <r>
    <n v="686"/>
    <x v="647"/>
    <n v="6.0998000000000001"/>
    <x v="685"/>
    <n v="-7.0000000000000007E-2"/>
    <n v="-7.0000000000000007E-2"/>
    <n v="-1.1599999999999999"/>
    <n v="-1.1599999999999999"/>
    <s v="Fechamento"/>
  </r>
  <r>
    <n v="687"/>
    <x v="648"/>
    <n v="6.0991999999999997"/>
    <x v="686"/>
    <n v="0"/>
    <n v="0"/>
    <n v="-0.01"/>
    <n v="-0.01"/>
    <s v="Fechamento"/>
  </r>
  <r>
    <n v="688"/>
    <x v="649"/>
    <n v="6.0849000000000002"/>
    <x v="687"/>
    <n v="-0.01"/>
    <n v="-0.01"/>
    <n v="-0.23"/>
    <n v="-0.23"/>
    <s v="Fechamento"/>
  </r>
  <r>
    <n v="689"/>
    <x v="650"/>
    <n v="6.0739999999999998"/>
    <x v="688"/>
    <n v="-0.01"/>
    <n v="-0.01"/>
    <n v="-0.18"/>
    <n v="-0.18"/>
    <s v="Fechamento"/>
  </r>
  <r>
    <n v="690"/>
    <x v="651"/>
    <n v="6.0719000000000003"/>
    <x v="689"/>
    <n v="0"/>
    <n v="0"/>
    <n v="-0.03"/>
    <n v="-0.03"/>
    <s v="Fechamento"/>
  </r>
  <r>
    <n v="691"/>
    <x v="652"/>
    <n v="6.0338000000000003"/>
    <x v="690"/>
    <n v="-0.04"/>
    <n v="-0.04"/>
    <n v="-0.63"/>
    <n v="-0.63"/>
    <s v="Fechamento"/>
  </r>
  <r>
    <n v="692"/>
    <x v="619"/>
    <n v="6.0007000000000001"/>
    <x v="691"/>
    <n v="-0.03"/>
    <n v="-0.03"/>
    <n v="-0.55000000000000004"/>
    <n v="-0.55000000000000004"/>
    <s v="Fechamento"/>
  </r>
  <r>
    <n v="693"/>
    <x v="653"/>
    <n v="6.0423"/>
    <x v="692"/>
    <n v="0.04"/>
    <n v="0.04"/>
    <n v="0.69"/>
    <n v="0.69"/>
    <s v="Fechamento"/>
  </r>
  <r>
    <n v="694"/>
    <x v="654"/>
    <n v="5.9941000000000004"/>
    <x v="693"/>
    <n v="-0.05"/>
    <n v="-0.05"/>
    <n v="-0.8"/>
    <n v="-0.8"/>
    <s v="Fechamento"/>
  </r>
  <r>
    <n v="695"/>
    <x v="655"/>
    <n v="5.9962999999999997"/>
    <x v="694"/>
    <n v="0"/>
    <n v="0"/>
    <n v="0.04"/>
    <n v="0.04"/>
    <s v="Fechamento"/>
  </r>
  <r>
    <n v="696"/>
    <x v="656"/>
    <n v="6.0551000000000004"/>
    <x v="695"/>
    <n v="0.06"/>
    <n v="0.06"/>
    <n v="0.98"/>
    <n v="0.97"/>
    <s v="Fechamento"/>
  </r>
  <r>
    <n v="697"/>
    <x v="657"/>
    <n v="6.1037999999999997"/>
    <x v="696"/>
    <n v="0.05"/>
    <n v="0.05"/>
    <n v="0.8"/>
    <n v="0.8"/>
    <s v="Fechamento"/>
  </r>
  <r>
    <n v="698"/>
    <x v="658"/>
    <n v="6.0987999999999998"/>
    <x v="697"/>
    <n v="0"/>
    <n v="0"/>
    <n v="-0.08"/>
    <n v="-0.08"/>
    <s v="Fechamento"/>
  </r>
  <r>
    <n v="699"/>
    <x v="659"/>
    <n v="6.1562999999999999"/>
    <x v="698"/>
    <n v="0.06"/>
    <n v="0.06"/>
    <n v="0.94"/>
    <n v="0.95"/>
    <s v="Fechamento"/>
  </r>
  <r>
    <n v="700"/>
    <x v="660"/>
    <n v="6.1134000000000004"/>
    <x v="699"/>
    <n v="-0.04"/>
    <n v="-0.04"/>
    <n v="-0.7"/>
    <n v="-0.7"/>
    <s v="Fechamento"/>
  </r>
  <r>
    <n v="701"/>
    <x v="661"/>
    <n v="6.1445999999999996"/>
    <x v="700"/>
    <n v="0.03"/>
    <n v="0.03"/>
    <n v="0.51"/>
    <n v="0.51"/>
    <s v="Fechamento"/>
  </r>
  <r>
    <n v="702"/>
    <x v="662"/>
    <n v="6.1703000000000001"/>
    <x v="701"/>
    <n v="0.03"/>
    <n v="0.03"/>
    <n v="0.42"/>
    <n v="0.42"/>
    <s v="Fechamento"/>
  </r>
  <r>
    <n v="703"/>
    <x v="663"/>
    <n v="6.1509"/>
    <x v="702"/>
    <n v="-0.02"/>
    <n v="-0.02"/>
    <n v="-0.31"/>
    <n v="-0.32"/>
    <s v="Fechamento"/>
  </r>
  <r>
    <n v="704"/>
    <x v="664"/>
    <n v="6.1512000000000002"/>
    <x v="703"/>
    <n v="0"/>
    <n v="0"/>
    <n v="0"/>
    <n v="0.01"/>
    <s v="Fechamento"/>
  </r>
  <r>
    <n v="705"/>
    <x v="665"/>
    <n v="6.1753"/>
    <x v="704"/>
    <n v="0.02"/>
    <n v="0.02"/>
    <n v="0.39"/>
    <n v="0.39"/>
    <s v="Fechamento"/>
  </r>
  <r>
    <n v="706"/>
    <x v="666"/>
    <n v="6.1543000000000001"/>
    <x v="705"/>
    <n v="-0.02"/>
    <n v="-0.02"/>
    <n v="-0.34"/>
    <n v="-0.34"/>
    <s v="Fechamento"/>
  </r>
  <r>
    <n v="707"/>
    <x v="667"/>
    <n v="6.1607000000000003"/>
    <x v="706"/>
    <n v="0.01"/>
    <n v="0.01"/>
    <n v="0.1"/>
    <n v="0.09"/>
    <s v="Fechamento"/>
  </r>
  <r>
    <n v="708"/>
    <x v="668"/>
    <n v="6.1677"/>
    <x v="707"/>
    <n v="0.01"/>
    <n v="0.01"/>
    <n v="0.11"/>
    <n v="0.11"/>
    <s v="Fechamento"/>
  </r>
  <r>
    <n v="709"/>
    <x v="669"/>
    <n v="6.1600999999999999"/>
    <x v="708"/>
    <n v="-0.01"/>
    <n v="-0.01"/>
    <n v="-0.12"/>
    <n v="-0.12"/>
    <s v="Fechamento"/>
  </r>
  <r>
    <n v="710"/>
    <x v="670"/>
    <n v="6.1654999999999998"/>
    <x v="709"/>
    <n v="0.01"/>
    <n v="0.01"/>
    <n v="0.09"/>
    <n v="0.09"/>
    <s v="Fechamento"/>
  </r>
  <r>
    <n v="711"/>
    <x v="671"/>
    <n v="6.17"/>
    <x v="710"/>
    <n v="0"/>
    <n v="0.01"/>
    <n v="7.0000000000000007E-2"/>
    <n v="0.08"/>
    <s v="Fechamento"/>
  </r>
  <r>
    <n v="712"/>
    <x v="672"/>
    <n v="6.2794999999999996"/>
    <x v="711"/>
    <n v="0.11"/>
    <n v="0.11"/>
    <n v="1.77"/>
    <n v="1.78"/>
    <s v="Fechamento"/>
  </r>
  <r>
    <n v="713"/>
    <x v="673"/>
    <n v="6.2725"/>
    <x v="712"/>
    <n v="-0.01"/>
    <n v="-0.01"/>
    <n v="-0.11"/>
    <n v="-0.11"/>
    <s v="Fechamento"/>
  </r>
  <r>
    <n v="714"/>
    <x v="674"/>
    <n v="6.3003"/>
    <x v="713"/>
    <n v="0.03"/>
    <n v="0.03"/>
    <n v="0.44"/>
    <n v="0.44"/>
    <s v="Fechamento"/>
  </r>
  <r>
    <n v="715"/>
    <x v="675"/>
    <n v="6.3109000000000002"/>
    <x v="714"/>
    <n v="0.01"/>
    <n v="0.01"/>
    <n v="0.17"/>
    <n v="0.16"/>
    <s v="Fechamento"/>
  </r>
  <r>
    <n v="716"/>
    <x v="676"/>
    <n v="6.3068999999999997"/>
    <x v="715"/>
    <n v="0"/>
    <n v="0"/>
    <n v="-0.06"/>
    <n v="-0.05"/>
    <s v="Fechamento"/>
  </r>
  <r>
    <n v="717"/>
    <x v="677"/>
    <n v="6.1908000000000003"/>
    <x v="716"/>
    <n v="-0.12"/>
    <n v="-0.12"/>
    <n v="-1.84"/>
    <n v="-1.84"/>
    <s v="Fechamento"/>
  </r>
  <r>
    <n v="718"/>
    <x v="678"/>
    <n v="6.1215999999999999"/>
    <x v="717"/>
    <n v="-7.0000000000000007E-2"/>
    <n v="-7.0000000000000007E-2"/>
    <n v="-1.1200000000000001"/>
    <n v="-1.1200000000000001"/>
    <s v="Fechamento"/>
  </r>
  <r>
    <n v="719"/>
    <x v="679"/>
    <n v="6.1966000000000001"/>
    <x v="718"/>
    <n v="0.08"/>
    <n v="0.08"/>
    <n v="1.23"/>
    <n v="1.23"/>
    <s v="Fechamento"/>
  </r>
  <r>
    <n v="720"/>
    <x v="680"/>
    <n v="6.1730999999999998"/>
    <x v="719"/>
    <n v="-0.02"/>
    <n v="-0.02"/>
    <n v="-0.38"/>
    <n v="-0.38"/>
    <s v="Fechamento"/>
  </r>
  <r>
    <n v="721"/>
    <x v="681"/>
    <n v="6.1212999999999997"/>
    <x v="720"/>
    <n v="-0.05"/>
    <n v="-0.05"/>
    <n v="-0.84"/>
    <n v="-0.84"/>
    <s v="Fechamento"/>
  </r>
  <r>
    <n v="722"/>
    <x v="682"/>
    <n v="6.1112000000000002"/>
    <x v="721"/>
    <n v="-0.01"/>
    <n v="-0.01"/>
    <n v="-0.16"/>
    <n v="-0.17"/>
    <s v="Fechamento"/>
  </r>
  <r>
    <n v="723"/>
    <x v="681"/>
    <n v="6.1212999999999997"/>
    <x v="722"/>
    <n v="0.01"/>
    <n v="0.01"/>
    <n v="0.17"/>
    <n v="0.18"/>
    <s v="Fechamento"/>
  </r>
  <r>
    <n v="724"/>
    <x v="683"/>
    <n v="6.0909000000000004"/>
    <x v="723"/>
    <n v="-0.03"/>
    <n v="-0.03"/>
    <n v="-0.5"/>
    <n v="-0.5"/>
    <s v="Fechamento"/>
  </r>
  <r>
    <n v="725"/>
    <x v="684"/>
    <n v="6.1138000000000003"/>
    <x v="724"/>
    <n v="0.02"/>
    <n v="0.02"/>
    <n v="0.38"/>
    <n v="0.37"/>
    <s v="Fechamento"/>
  </r>
  <r>
    <n v="726"/>
    <x v="685"/>
    <n v="6.1146000000000003"/>
    <x v="725"/>
    <n v="0"/>
    <n v="0"/>
    <n v="0.01"/>
    <n v="0.02"/>
    <s v="Fechamento"/>
  </r>
  <r>
    <n v="727"/>
    <x v="686"/>
    <n v="6.0513000000000003"/>
    <x v="726"/>
    <n v="-0.06"/>
    <n v="-0.06"/>
    <n v="-1.04"/>
    <n v="-1.04"/>
    <s v="Fechamento"/>
  </r>
  <r>
    <n v="728"/>
    <x v="687"/>
    <n v="6.085"/>
    <x v="727"/>
    <n v="0.03"/>
    <n v="0.03"/>
    <n v="0.56000000000000005"/>
    <n v="0.55000000000000004"/>
    <s v="Fechamento"/>
  </r>
  <r>
    <n v="729"/>
    <x v="688"/>
    <n v="6.0773999999999999"/>
    <x v="728"/>
    <n v="-0.01"/>
    <n v="-0.01"/>
    <n v="-0.12"/>
    <n v="-0.12"/>
    <s v="Fechamento"/>
  </r>
  <r>
    <n v="730"/>
    <x v="689"/>
    <n v="6.1624999999999996"/>
    <x v="729"/>
    <n v="0.09"/>
    <n v="0.08"/>
    <n v="1.4"/>
    <n v="1.39"/>
    <s v="Fechamento"/>
  </r>
  <r>
    <n v="731"/>
    <x v="690"/>
    <n v="6.3182"/>
    <x v="730"/>
    <n v="0.16"/>
    <n v="0.16"/>
    <n v="2.5299999999999998"/>
    <n v="2.54"/>
    <s v="Fechamento"/>
  </r>
  <r>
    <n v="732"/>
    <x v="691"/>
    <n v="6.3943000000000003"/>
    <x v="731"/>
    <n v="0.08"/>
    <n v="0.08"/>
    <n v="1.2"/>
    <n v="1.2"/>
    <s v="Fechamento"/>
  </r>
  <r>
    <n v="733"/>
    <x v="692"/>
    <n v="6.3490000000000002"/>
    <x v="732"/>
    <n v="-0.05"/>
    <n v="-0.05"/>
    <n v="-0.71"/>
    <n v="-0.72"/>
    <s v="Fechamento"/>
  </r>
  <r>
    <n v="734"/>
    <x v="693"/>
    <n v="6.3852000000000002"/>
    <x v="733"/>
    <n v="0.04"/>
    <n v="0.04"/>
    <n v="0.56999999999999995"/>
    <n v="0.56999999999999995"/>
    <s v="Fechamento"/>
  </r>
  <r>
    <n v="735"/>
    <x v="694"/>
    <n v="6.3792"/>
    <x v="734"/>
    <n v="-0.01"/>
    <n v="-0.01"/>
    <n v="-0.09"/>
    <n v="-0.08"/>
    <s v="Fechamento"/>
  </r>
  <r>
    <n v="736"/>
    <x v="695"/>
    <n v="6.3277999999999999"/>
    <x v="735"/>
    <n v="-0.05"/>
    <n v="-0.05"/>
    <n v="-0.81"/>
    <n v="-0.8"/>
    <s v="Fechamento"/>
  </r>
  <r>
    <n v="737"/>
    <x v="696"/>
    <n v="6.37"/>
    <x v="736"/>
    <n v="0.04"/>
    <n v="0.04"/>
    <n v="0.67"/>
    <n v="0.66"/>
    <s v="Fechamento"/>
  </r>
  <r>
    <n v="738"/>
    <x v="697"/>
    <n v="6.4156000000000004"/>
    <x v="737"/>
    <n v="0.05"/>
    <n v="0.05"/>
    <n v="0.72"/>
    <n v="0.73"/>
    <s v="Fechamento"/>
  </r>
  <r>
    <n v="739"/>
    <x v="698"/>
    <n v="6.3586"/>
    <x v="738"/>
    <n v="-0.06"/>
    <n v="-0.06"/>
    <n v="-0.89"/>
    <n v="-0.9"/>
    <s v="Fechamento"/>
  </r>
  <r>
    <n v="740"/>
    <x v="699"/>
    <n v="6.3281999999999998"/>
    <x v="739"/>
    <n v="-0.03"/>
    <n v="-0.03"/>
    <n v="-0.48"/>
    <n v="-0.48"/>
    <s v="Fechamento"/>
  </r>
  <r>
    <n v="741"/>
    <x v="700"/>
    <n v="6.2224000000000004"/>
    <x v="740"/>
    <n v="-0.11"/>
    <n v="-0.11"/>
    <n v="-1.67"/>
    <n v="-1.67"/>
    <s v="Fechamento"/>
  </r>
  <r>
    <n v="742"/>
    <x v="701"/>
    <n v="6.3360000000000003"/>
    <x v="741"/>
    <n v="0.11"/>
    <n v="0.11"/>
    <n v="1.83"/>
    <n v="1.82"/>
    <s v="Fechamento"/>
  </r>
  <r>
    <n v="743"/>
    <x v="0"/>
    <n v="6.3577000000000004"/>
    <x v="742"/>
    <n v="0.02"/>
    <n v="0.02"/>
    <n v="0.34"/>
    <n v="0.36"/>
    <s v="Fechamento"/>
  </r>
  <r>
    <n v="744"/>
    <x v="702"/>
    <n v="6.4768999999999997"/>
    <x v="743"/>
    <n v="0.12"/>
    <n v="0.12"/>
    <n v="1.87"/>
    <n v="1.87"/>
    <s v="Fechamento"/>
  </r>
  <r>
    <n v="745"/>
    <x v="703"/>
    <n v="6.4550999999999998"/>
    <x v="744"/>
    <n v="-0.02"/>
    <n v="-0.02"/>
    <n v="-0.34"/>
    <n v="-0.34"/>
    <s v="Fechamento"/>
  </r>
  <r>
    <n v="746"/>
    <x v="704"/>
    <n v="6.4196999999999997"/>
    <x v="745"/>
    <n v="-0.04"/>
    <n v="-0.04"/>
    <n v="-0.55000000000000004"/>
    <n v="-0.56000000000000005"/>
    <s v="Fechamento"/>
  </r>
  <r>
    <n v="747"/>
    <x v="705"/>
    <n v="6.3198999999999996"/>
    <x v="746"/>
    <n v="-0.1"/>
    <n v="-0.1"/>
    <n v="-1.55"/>
    <n v="-1.56"/>
    <s v="Fechamento"/>
  </r>
  <r>
    <n v="748"/>
    <x v="706"/>
    <n v="6.4027000000000003"/>
    <x v="747"/>
    <n v="0.08"/>
    <n v="0.08"/>
    <n v="1.31"/>
    <n v="1.31"/>
    <s v="Fechamento"/>
  </r>
  <r>
    <n v="749"/>
    <x v="707"/>
    <n v="6.4027000000000003"/>
    <x v="748"/>
    <n v="0"/>
    <n v="0"/>
    <n v="0"/>
    <n v="-0.02"/>
    <s v="Fechamento"/>
  </r>
  <r>
    <n v="750"/>
    <x v="708"/>
    <n v="6.4184000000000001"/>
    <x v="749"/>
    <n v="0.02"/>
    <n v="0.02"/>
    <n v="0.25"/>
    <n v="0.27"/>
    <s v="Fechamento"/>
  </r>
  <r>
    <n v="751"/>
    <x v="709"/>
    <n v="6.4612999999999996"/>
    <x v="750"/>
    <n v="0.04"/>
    <n v="0.04"/>
    <n v="0.67"/>
    <n v="0.68"/>
    <s v="Fechamento"/>
  </r>
  <r>
    <n v="752"/>
    <x v="710"/>
    <n v="6.4282000000000004"/>
    <x v="751"/>
    <n v="-0.03"/>
    <n v="-0.03"/>
    <n v="-0.51"/>
    <n v="-0.51"/>
    <s v="Fechamento"/>
  </r>
  <r>
    <n v="753"/>
    <x v="711"/>
    <n v="6.4363000000000001"/>
    <x v="752"/>
    <n v="0.01"/>
    <n v="0.01"/>
    <n v="0.13"/>
    <n v="0.12"/>
    <s v="Fechamento"/>
  </r>
  <r>
    <n v="754"/>
    <x v="712"/>
    <n v="6.3792999999999997"/>
    <x v="753"/>
    <n v="-0.06"/>
    <n v="-0.06"/>
    <n v="-0.89"/>
    <n v="-0.87"/>
    <s v="Fechamento"/>
  </r>
  <r>
    <n v="755"/>
    <x v="713"/>
    <n v="6.3342000000000001"/>
    <x v="754"/>
    <n v="-0.05"/>
    <n v="-0.05"/>
    <n v="-0.71"/>
    <n v="-0.71"/>
    <s v="Fechamento"/>
  </r>
  <r>
    <n v="756"/>
    <x v="714"/>
    <n v="6.3532999999999999"/>
    <x v="755"/>
    <n v="0.02"/>
    <n v="0.02"/>
    <n v="0.3"/>
    <n v="0.3"/>
    <s v="Fechamento"/>
  </r>
  <r>
    <n v="757"/>
    <x v="715"/>
    <n v="6.3013000000000003"/>
    <x v="756"/>
    <n v="-0.05"/>
    <n v="-0.05"/>
    <n v="-0.82"/>
    <n v="-0.83"/>
    <s v="Fechamento"/>
  </r>
  <r>
    <n v="758"/>
    <x v="716"/>
    <n v="6.3178999999999998"/>
    <x v="757"/>
    <n v="0.02"/>
    <n v="0.02"/>
    <n v="0.26"/>
    <n v="0.27"/>
    <s v="Fechamento"/>
  </r>
  <r>
    <n v="759"/>
    <x v="717"/>
    <n v="6.2723000000000004"/>
    <x v="758"/>
    <n v="-0.05"/>
    <n v="-0.04"/>
    <n v="-0.72"/>
    <n v="-0.71"/>
    <s v="Fechamento"/>
  </r>
  <r>
    <n v="760"/>
    <x v="718"/>
    <n v="6.2500999999999998"/>
    <x v="759"/>
    <n v="-0.02"/>
    <n v="-0.02"/>
    <n v="-0.35"/>
    <n v="-0.35"/>
    <s v="Fechamento"/>
  </r>
  <r>
    <n v="761"/>
    <x v="719"/>
    <n v="6.2287999999999997"/>
    <x v="760"/>
    <n v="-0.02"/>
    <n v="-0.02"/>
    <n v="-0.34"/>
    <n v="-0.34"/>
    <s v="Fechamento"/>
  </r>
  <r>
    <n v="762"/>
    <x v="720"/>
    <n v="6.2461000000000002"/>
    <x v="761"/>
    <n v="0.02"/>
    <n v="0.02"/>
    <n v="0.28000000000000003"/>
    <n v="0.27"/>
    <s v="Fechamento"/>
  </r>
  <r>
    <n v="763"/>
    <x v="721"/>
    <n v="6.2230999999999996"/>
    <x v="762"/>
    <n v="-0.02"/>
    <n v="-0.02"/>
    <n v="-0.37"/>
    <n v="-0.36"/>
    <s v="Fechamento"/>
  </r>
  <r>
    <n v="764"/>
    <x v="722"/>
    <n v="6.2144000000000004"/>
    <x v="763"/>
    <n v="-0.01"/>
    <n v="-0.01"/>
    <n v="-0.14000000000000001"/>
    <n v="-0.14000000000000001"/>
    <s v="Fechamento"/>
  </r>
  <r>
    <n v="765"/>
    <x v="723"/>
    <n v="6.2427000000000001"/>
    <x v="764"/>
    <n v="0.03"/>
    <n v="0.03"/>
    <n v="0.46"/>
    <n v="0.45"/>
    <s v="Fechamento"/>
  </r>
  <r>
    <n v="766"/>
    <x v="724"/>
    <n v="6.2923999999999998"/>
    <x v="765"/>
    <n v="0.05"/>
    <n v="0.05"/>
    <n v="0.8"/>
    <n v="0.81"/>
    <s v="Fechamento"/>
  </r>
  <r>
    <n v="767"/>
    <x v="725"/>
    <n v="6.2864000000000004"/>
    <x v="766"/>
    <n v="-0.01"/>
    <n v="-0.01"/>
    <n v="-0.1"/>
    <n v="-0.1"/>
    <s v="Fechamento"/>
  </r>
  <r>
    <n v="768"/>
    <x v="726"/>
    <n v="6.218"/>
    <x v="767"/>
    <n v="-7.0000000000000007E-2"/>
    <n v="-7.0000000000000007E-2"/>
    <n v="-1.0900000000000001"/>
    <n v="-1.0900000000000001"/>
    <s v="Fechamento"/>
  </r>
  <r>
    <n v="769"/>
    <x v="727"/>
    <n v="6.1757"/>
    <x v="768"/>
    <n v="-0.04"/>
    <n v="-0.04"/>
    <n v="-0.68"/>
    <n v="-0.68"/>
    <s v="Fechamento"/>
  </r>
  <r>
    <n v="770"/>
    <x v="728"/>
    <n v="6.1970999999999998"/>
    <x v="769"/>
    <n v="0.02"/>
    <n v="0.02"/>
    <n v="0.35"/>
    <n v="0.34"/>
    <s v="Fechamento"/>
  </r>
  <r>
    <n v="771"/>
    <x v="729"/>
    <n v="6.2236000000000002"/>
    <x v="770"/>
    <n v="0.03"/>
    <n v="0.03"/>
    <n v="0.43"/>
    <n v="0.43"/>
    <s v="Fechamento"/>
  </r>
  <r>
    <n v="772"/>
    <x v="730"/>
    <n v="6.1435000000000004"/>
    <x v="771"/>
    <n v="-0.08"/>
    <n v="-0.08"/>
    <n v="-1.29"/>
    <n v="-1.29"/>
    <s v="Fechamento"/>
  </r>
  <r>
    <n v="773"/>
    <x v="731"/>
    <n v="6.1063000000000001"/>
    <x v="772"/>
    <n v="-0.04"/>
    <n v="-0.04"/>
    <n v="-0.61"/>
    <n v="-0.6"/>
    <s v="Fechamento"/>
  </r>
  <r>
    <n v="774"/>
    <x v="732"/>
    <n v="6.1555"/>
    <x v="773"/>
    <n v="0.05"/>
    <n v="0.05"/>
    <n v="0.81"/>
    <n v="0.82"/>
    <s v="Fechamento"/>
  </r>
  <r>
    <n v="775"/>
    <x v="733"/>
    <n v="6.0616000000000003"/>
    <x v="774"/>
    <n v="-0.09"/>
    <n v="-0.09"/>
    <n v="-1.53"/>
    <n v="-1.53"/>
    <s v="Fechamento"/>
  </r>
  <r>
    <n v="776"/>
    <x v="734"/>
    <n v="6.0529999999999999"/>
    <x v="775"/>
    <n v="-0.01"/>
    <n v="-0.01"/>
    <n v="-0.14000000000000001"/>
    <n v="-0.15"/>
    <s v="Fechamento"/>
  </r>
  <r>
    <n v="777"/>
    <x v="735"/>
    <n v="6.0133999999999999"/>
    <x v="776"/>
    <n v="-0.04"/>
    <n v="-0.04"/>
    <n v="-0.65"/>
    <n v="-0.65"/>
    <s v="Fechamento"/>
  </r>
  <r>
    <n v="778"/>
    <x v="736"/>
    <n v="6.0449999999999999"/>
    <x v="777"/>
    <n v="0.03"/>
    <n v="0.03"/>
    <n v="0.53"/>
    <n v="0.53"/>
    <s v="Fechamento"/>
  </r>
  <r>
    <n v="779"/>
    <x v="737"/>
    <n v="5.9996999999999998"/>
    <x v="778"/>
    <n v="-0.05"/>
    <n v="-0.05"/>
    <n v="-0.75"/>
    <n v="-0.75"/>
    <s v="Fechamento"/>
  </r>
  <r>
    <n v="780"/>
    <x v="738"/>
    <n v="5.9595000000000002"/>
    <x v="779"/>
    <n v="-0.04"/>
    <n v="-0.04"/>
    <n v="-0.67"/>
    <n v="-0.66"/>
    <s v="Fechamento"/>
  </r>
  <r>
    <n v="781"/>
    <x v="739"/>
    <n v="5.9641000000000002"/>
    <x v="780"/>
    <n v="0"/>
    <n v="0"/>
    <n v="0.08"/>
    <n v="7.0000000000000007E-2"/>
    <s v="Fechamento"/>
  </r>
  <r>
    <n v="782"/>
    <x v="740"/>
    <n v="5.9752999999999998"/>
    <x v="781"/>
    <n v="0.01"/>
    <n v="0.01"/>
    <n v="0.19"/>
    <n v="0.2"/>
    <s v="Fechamento"/>
  </r>
  <r>
    <n v="783"/>
    <x v="741"/>
    <n v="5.9874999999999998"/>
    <x v="782"/>
    <n v="0.01"/>
    <n v="0.01"/>
    <n v="0.2"/>
    <n v="0.2"/>
    <s v="Fechamento"/>
  </r>
  <r>
    <n v="784"/>
    <x v="742"/>
    <n v="6.0296000000000003"/>
    <x v="783"/>
    <n v="0.04"/>
    <n v="0.04"/>
    <n v="0.7"/>
    <n v="0.7"/>
    <s v="Fechamento"/>
  </r>
  <r>
    <n v="785"/>
    <x v="743"/>
    <n v="6.0198999999999998"/>
    <x v="784"/>
    <n v="-0.01"/>
    <n v="-0.01"/>
    <n v="-0.16"/>
    <n v="-0.16"/>
    <s v="Fechamento"/>
  </r>
  <r>
    <n v="786"/>
    <x v="744"/>
    <n v="5.9846000000000004"/>
    <x v="785"/>
    <n v="-0.04"/>
    <n v="-0.04"/>
    <n v="-0.59"/>
    <n v="-0.59"/>
    <s v="Fechamento"/>
  </r>
  <r>
    <n v="787"/>
    <x v="745"/>
    <n v="5.9640000000000004"/>
    <x v="786"/>
    <n v="-0.02"/>
    <n v="-0.02"/>
    <n v="-0.34"/>
    <n v="-0.34"/>
    <s v="Fechamento"/>
  </r>
  <r>
    <n v="788"/>
    <x v="746"/>
    <n v="5.9512999999999998"/>
    <x v="787"/>
    <n v="-0.01"/>
    <n v="-0.01"/>
    <n v="-0.21"/>
    <n v="-0.21"/>
    <s v="Fechamento"/>
  </r>
  <r>
    <n v="789"/>
    <x v="747"/>
    <n v="5.9722"/>
    <x v="788"/>
    <n v="0.02"/>
    <n v="0.02"/>
    <n v="0.35"/>
    <n v="0.34"/>
    <s v="Fechamento"/>
  </r>
  <r>
    <n v="790"/>
    <x v="748"/>
    <n v="5.9622000000000002"/>
    <x v="789"/>
    <n v="-0.01"/>
    <n v="-0.01"/>
    <n v="-0.17"/>
    <n v="-0.16"/>
    <s v="Fechamento"/>
  </r>
  <r>
    <n v="791"/>
    <x v="749"/>
    <n v="5.9943"/>
    <x v="790"/>
    <n v="0.03"/>
    <n v="0.03"/>
    <n v="0.54"/>
    <n v="0.54"/>
    <s v="Fechamento"/>
  </r>
  <r>
    <n v="792"/>
    <x v="750"/>
    <n v="6.0655999999999999"/>
    <x v="791"/>
    <n v="7.0000000000000007E-2"/>
    <n v="7.0000000000000007E-2"/>
    <n v="1.19"/>
    <n v="1.19"/>
    <s v="Fechamento"/>
  </r>
  <r>
    <n v="793"/>
    <x v="751"/>
    <n v="6.0685000000000002"/>
    <x v="792"/>
    <n v="0"/>
    <n v="0"/>
    <n v="0.05"/>
    <n v="0.05"/>
    <s v="Fechamento"/>
  </r>
  <r>
    <n v="794"/>
    <x v="752"/>
    <n v="6.0650000000000004"/>
    <x v="793"/>
    <n v="0"/>
    <n v="0"/>
    <n v="-0.06"/>
    <n v="-7.0000000000000007E-2"/>
    <s v="Fechamento"/>
  </r>
  <r>
    <n v="795"/>
    <x v="753"/>
    <n v="6.0827999999999998"/>
    <x v="794"/>
    <n v="0.02"/>
    <n v="0.02"/>
    <n v="0.28999999999999998"/>
    <n v="0.3"/>
    <s v="Fechamento"/>
  </r>
  <r>
    <n v="796"/>
    <x v="754"/>
    <n v="6.2397"/>
    <x v="795"/>
    <n v="0.16"/>
    <n v="0.16"/>
    <n v="2.58"/>
    <n v="2.57"/>
    <s v="Fechamento"/>
  </r>
  <r>
    <n v="797"/>
    <x v="755"/>
    <n v="6.2191999999999998"/>
    <x v="796"/>
    <n v="-0.02"/>
    <n v="-0.02"/>
    <n v="-0.33"/>
    <n v="-0.33"/>
    <s v="Fechamento"/>
  </r>
  <r>
    <n v="798"/>
    <x v="756"/>
    <n v="6.2713000000000001"/>
    <x v="797"/>
    <n v="0.05"/>
    <n v="0.05"/>
    <n v="0.84"/>
    <n v="0.84"/>
    <s v="Fechamento"/>
  </r>
  <r>
    <n v="799"/>
    <x v="757"/>
    <n v="6.2785000000000002"/>
    <x v="798"/>
    <n v="0.01"/>
    <n v="0.01"/>
    <n v="0.11"/>
    <n v="0.12"/>
    <s v="Fechamento"/>
  </r>
  <r>
    <n v="800"/>
    <x v="758"/>
    <n v="6.3754999999999997"/>
    <x v="799"/>
    <n v="0.1"/>
    <n v="0.1"/>
    <n v="1.54"/>
    <n v="1.55"/>
    <s v="Fechamento"/>
  </r>
  <r>
    <n v="801"/>
    <x v="759"/>
    <n v="6.3658000000000001"/>
    <x v="800"/>
    <n v="-0.01"/>
    <n v="-0.01"/>
    <n v="-0.15"/>
    <n v="-0.16"/>
    <s v="Fechamento"/>
  </r>
  <r>
    <n v="802"/>
    <x v="760"/>
    <n v="6.3124000000000002"/>
    <x v="801"/>
    <n v="-0.05"/>
    <n v="-0.05"/>
    <n v="-0.84"/>
    <n v="-0.83"/>
    <s v="Fechamento"/>
  </r>
  <r>
    <n v="803"/>
    <x v="761"/>
    <n v="6.2426000000000004"/>
    <x v="802"/>
    <n v="-7.0000000000000007E-2"/>
    <n v="-7.0000000000000007E-2"/>
    <n v="-1.1100000000000001"/>
    <n v="-1.1200000000000001"/>
    <s v="Fechamento"/>
  </r>
  <r>
    <n v="804"/>
    <x v="762"/>
    <n v="6.2344999999999997"/>
    <x v="803"/>
    <n v="-0.01"/>
    <n v="-0.01"/>
    <n v="-0.13"/>
    <n v="-0.12"/>
    <s v="Fechamento"/>
  </r>
  <r>
    <n v="805"/>
    <x v="763"/>
    <n v="6.2122000000000002"/>
    <x v="804"/>
    <n v="-0.02"/>
    <n v="-0.02"/>
    <n v="-0.36"/>
    <n v="-0.36"/>
    <s v="Fechamento"/>
  </r>
  <r>
    <n v="806"/>
    <x v="764"/>
    <n v="6.1637000000000004"/>
    <x v="805"/>
    <n v="-0.05"/>
    <n v="-0.05"/>
    <n v="-0.78"/>
    <n v="-0.78"/>
    <s v="Fechamento"/>
  </r>
  <r>
    <n v="807"/>
    <x v="765"/>
    <n v="6.1429999999999998"/>
    <x v="806"/>
    <n v="-0.02"/>
    <n v="-0.02"/>
    <n v="-0.34"/>
    <n v="-0.34"/>
    <s v="Fechamento"/>
  </r>
  <r>
    <n v="808"/>
    <x v="766"/>
    <n v="6.1859999999999999"/>
    <x v="807"/>
    <n v="0.04"/>
    <n v="0.04"/>
    <n v="0.7"/>
    <n v="0.69"/>
    <s v="Fechamento"/>
  </r>
  <r>
    <n v="809"/>
    <x v="679"/>
    <n v="6.1966999999999999"/>
    <x v="808"/>
    <n v="0.01"/>
    <n v="0.01"/>
    <n v="0.17"/>
    <n v="0.18"/>
    <s v="Fechamento"/>
  </r>
  <r>
    <n v="810"/>
    <x v="767"/>
    <n v="6.1574"/>
    <x v="809"/>
    <n v="-0.04"/>
    <n v="-0.04"/>
    <n v="-0.63"/>
    <n v="-0.63"/>
    <s v="Fechamento"/>
  </r>
  <r>
    <n v="811"/>
    <x v="768"/>
    <n v="6.1779000000000002"/>
    <x v="810"/>
    <n v="0.02"/>
    <n v="0.02"/>
    <n v="0.33"/>
    <n v="0.32"/>
    <s v="Fechamento"/>
  </r>
  <r>
    <n v="812"/>
    <x v="769"/>
    <n v="6.2072000000000003"/>
    <x v="811"/>
    <n v="0.03"/>
    <n v="0.03"/>
    <n v="0.47"/>
    <n v="0.48"/>
    <s v="Fechamento"/>
  </r>
  <r>
    <n v="813"/>
    <x v="770"/>
    <n v="6.2423000000000002"/>
    <x v="812"/>
    <n v="0.04"/>
    <n v="0.03"/>
    <n v="0.56999999999999995"/>
    <n v="0.56000000000000005"/>
    <s v="Fechamento"/>
  </r>
  <r>
    <n v="814"/>
    <x v="771"/>
    <n v="6.1993"/>
    <x v="813"/>
    <n v="-0.04"/>
    <n v="-0.04"/>
    <n v="-0.69"/>
    <n v="-0.68"/>
    <s v="Fechamento"/>
  </r>
  <r>
    <n v="815"/>
    <x v="772"/>
    <n v="6.1615000000000002"/>
    <x v="814"/>
    <n v="-0.04"/>
    <n v="-0.04"/>
    <n v="-0.61"/>
    <n v="-0.62"/>
    <s v="Fechamento"/>
  </r>
  <r>
    <n v="816"/>
    <x v="773"/>
    <n v="6.1863999999999999"/>
    <x v="815"/>
    <n v="0.02"/>
    <n v="0.03"/>
    <n v="0.4"/>
    <n v="0.42"/>
    <s v="Fechamento"/>
  </r>
  <r>
    <n v="817"/>
    <x v="774"/>
    <n v="6.1959999999999997"/>
    <x v="816"/>
    <n v="0.01"/>
    <n v="0.01"/>
    <n v="0.16"/>
    <n v="0.16"/>
    <s v="Fechamento"/>
  </r>
  <r>
    <n v="818"/>
    <x v="775"/>
    <n v="6.3640999999999996"/>
    <x v="817"/>
    <n v="0.17"/>
    <n v="0.17"/>
    <n v="2.71"/>
    <n v="2.7"/>
    <s v="Fechamento"/>
  </r>
  <r>
    <n v="819"/>
    <x v="776"/>
    <n v="6.4252000000000002"/>
    <x v="818"/>
    <n v="0.06"/>
    <n v="0.06"/>
    <n v="0.96"/>
    <n v="0.97"/>
    <s v="Fechamento"/>
  </r>
  <r>
    <n v="820"/>
    <x v="777"/>
    <n v="6.4787999999999997"/>
    <x v="819"/>
    <n v="0.05"/>
    <n v="0.05"/>
    <n v="0.83"/>
    <n v="0.83"/>
    <s v="Fechamento"/>
  </r>
  <r>
    <n v="821"/>
    <x v="778"/>
    <n v="6.6901999999999999"/>
    <x v="820"/>
    <n v="0.21"/>
    <n v="0.21"/>
    <n v="3.26"/>
    <n v="3.26"/>
    <s v="Fechamento"/>
  </r>
  <r>
    <n v="822"/>
    <x v="779"/>
    <n v="6.6143999999999998"/>
    <x v="821"/>
    <n v="-0.08"/>
    <n v="-0.08"/>
    <n v="-1.1299999999999999"/>
    <n v="-1.1399999999999999"/>
    <s v="Fechamento"/>
  </r>
  <r>
    <n v="823"/>
    <x v="780"/>
    <n v="6.6508000000000003"/>
    <x v="822"/>
    <n v="0.04"/>
    <n v="0.04"/>
    <n v="0.55000000000000004"/>
    <n v="0.56999999999999995"/>
    <s v="Fechamento"/>
  </r>
  <r>
    <n v="824"/>
    <x v="781"/>
    <n v="6.6359000000000004"/>
    <x v="823"/>
    <n v="-0.01"/>
    <n v="-0.01"/>
    <n v="-0.22"/>
    <n v="-0.22"/>
    <s v="Fechamento"/>
  </r>
  <r>
    <n v="825"/>
    <x v="782"/>
    <n v="6.6280000000000001"/>
    <x v="824"/>
    <n v="-0.01"/>
    <n v="-0.01"/>
    <n v="-0.12"/>
    <n v="-0.13"/>
    <s v="Fechamento"/>
  </r>
  <r>
    <n v="826"/>
    <x v="783"/>
    <n v="6.6940999999999997"/>
    <x v="825"/>
    <n v="7.0000000000000007E-2"/>
    <n v="7.0000000000000007E-2"/>
    <n v="1"/>
    <n v="1.01"/>
    <s v="Fechamento"/>
  </r>
  <r>
    <n v="827"/>
    <x v="784"/>
    <n v="6.6558000000000002"/>
    <x v="826"/>
    <n v="-0.04"/>
    <n v="-0.04"/>
    <n v="-0.56999999999999995"/>
    <n v="-0.59"/>
    <s v="Fechamento"/>
  </r>
  <r>
    <n v="828"/>
    <x v="785"/>
    <n v="6.5925000000000002"/>
    <x v="827"/>
    <n v="-0.06"/>
    <n v="-0.06"/>
    <n v="-0.95"/>
    <n v="-0.94"/>
    <s v="Fechamento"/>
  </r>
  <r>
    <n v="829"/>
    <x v="786"/>
    <n v="6.4558999999999997"/>
    <x v="828"/>
    <n v="-0.14000000000000001"/>
    <n v="-0.14000000000000001"/>
    <n v="-2.0699999999999998"/>
    <n v="-2.0699999999999998"/>
    <s v="Fechamento"/>
  </r>
  <r>
    <n v="830"/>
    <x v="786"/>
    <n v="6.4558999999999997"/>
    <x v="828"/>
    <n v="0"/>
    <n v="0"/>
    <n v="0"/>
    <n v="0"/>
    <s v="Fechamento"/>
  </r>
  <r>
    <n v="831"/>
    <x v="787"/>
    <n v="6.4477000000000002"/>
    <x v="829"/>
    <n v="-0.01"/>
    <n v="-0.01"/>
    <n v="-0.13"/>
    <n v="-0.13"/>
    <s v="Fechamento"/>
  </r>
  <r>
    <n v="832"/>
    <x v="788"/>
    <n v="6.4695999999999998"/>
    <x v="830"/>
    <n v="0.02"/>
    <n v="0.02"/>
    <n v="0.34"/>
    <n v="0.35"/>
    <s v="Fechamento"/>
  </r>
  <r>
    <n v="833"/>
    <x v="789"/>
    <n v="6.4542999999999999"/>
    <x v="831"/>
    <n v="-0.02"/>
    <n v="-0.02"/>
    <n v="-0.24"/>
    <n v="-0.24"/>
    <s v="Fechamento"/>
  </r>
  <r>
    <n v="834"/>
    <x v="790"/>
    <n v="6.4349999999999996"/>
    <x v="832"/>
    <n v="-0.02"/>
    <n v="-0.02"/>
    <n v="-0.3"/>
    <n v="-0.3"/>
    <s v="Fechamento"/>
  </r>
  <r>
    <n v="835"/>
    <x v="791"/>
    <n v="6.4256000000000002"/>
    <x v="833"/>
    <n v="-0.01"/>
    <n v="-0.01"/>
    <n v="-0.15"/>
    <n v="-0.16"/>
    <s v="Fechamento"/>
  </r>
  <r>
    <n v="836"/>
    <x v="792"/>
    <n v="6.3894000000000002"/>
    <x v="834"/>
    <n v="-0.04"/>
    <n v="-0.03"/>
    <n v="-0.56000000000000005"/>
    <n v="-0.54"/>
    <s v="Fechamento"/>
  </r>
  <r>
    <n v="837"/>
    <x v="793"/>
    <n v="6.3952"/>
    <x v="835"/>
    <n v="0.01"/>
    <n v="0.01"/>
    <n v="0.09"/>
    <n v="0.08"/>
    <s v="Fechamento"/>
  </r>
  <r>
    <n v="838"/>
    <x v="794"/>
    <n v="6.4904999999999999"/>
    <x v="836"/>
    <n v="0.1"/>
    <n v="0.1"/>
    <n v="1.49"/>
    <n v="1.5"/>
    <s v="Fechamento"/>
  </r>
  <r>
    <n v="839"/>
    <x v="795"/>
    <n v="6.5109000000000004"/>
    <x v="837"/>
    <n v="0.02"/>
    <n v="0.02"/>
    <n v="0.31"/>
    <n v="0.31"/>
    <s v="Fechamento"/>
  </r>
  <r>
    <n v="840"/>
    <x v="796"/>
    <n v="6.3962000000000003"/>
    <x v="838"/>
    <n v="-0.11"/>
    <n v="-0.11"/>
    <n v="-1.76"/>
    <n v="-1.76"/>
    <s v="Fechamento"/>
  </r>
  <r>
    <n v="841"/>
    <x v="797"/>
    <n v="6.3688000000000002"/>
    <x v="839"/>
    <n v="-0.03"/>
    <n v="-0.03"/>
    <n v="-0.43"/>
    <n v="-0.42"/>
    <s v="Fechamento"/>
  </r>
  <r>
    <n v="842"/>
    <x v="798"/>
    <n v="6.3106999999999998"/>
    <x v="840"/>
    <n v="-0.06"/>
    <n v="-0.06"/>
    <n v="-0.91"/>
    <n v="-0.92"/>
    <s v="Fechamento"/>
  </r>
  <r>
    <n v="843"/>
    <x v="799"/>
    <n v="6.2877999999999998"/>
    <x v="841"/>
    <n v="-0.02"/>
    <n v="-0.02"/>
    <n v="-0.36"/>
    <n v="-0.36"/>
    <s v="Fechamento"/>
  </r>
  <r>
    <n v="844"/>
    <x v="800"/>
    <n v="6.2866"/>
    <x v="842"/>
    <n v="0"/>
    <n v="0"/>
    <n v="-0.02"/>
    <n v="-0.01"/>
    <s v="Fechamento"/>
  </r>
  <r>
    <n v="845"/>
    <x v="801"/>
    <n v="6.3025000000000002"/>
    <x v="843"/>
    <n v="0.02"/>
    <n v="0.02"/>
    <n v="0.25"/>
    <n v="0.25"/>
    <s v="Fechamento"/>
  </r>
  <r>
    <n v="846"/>
    <x v="802"/>
    <n v="6.3419999999999996"/>
    <x v="844"/>
    <n v="0.04"/>
    <n v="0.04"/>
    <n v="0.63"/>
    <n v="0.63"/>
    <s v="Fechamento"/>
  </r>
  <r>
    <n v="847"/>
    <x v="803"/>
    <n v="6.3590999999999998"/>
    <x v="845"/>
    <n v="0.02"/>
    <n v="0.02"/>
    <n v="0.27"/>
    <n v="0.26"/>
    <s v="Fechamento"/>
  </r>
  <r>
    <n v="848"/>
    <x v="804"/>
    <n v="6.3719999999999999"/>
    <x v="846"/>
    <n v="0.01"/>
    <n v="0.01"/>
    <n v="0.2"/>
    <n v="0.2"/>
    <s v="Fechamento"/>
  </r>
  <r>
    <n v="849"/>
    <x v="805"/>
    <n v="6.4168000000000003"/>
    <x v="847"/>
    <n v="0.04"/>
    <n v="0.05"/>
    <n v="0.7"/>
    <n v="0.71"/>
    <s v="Fechamento"/>
  </r>
  <r>
    <n v="850"/>
    <x v="806"/>
    <n v="6.3619000000000003"/>
    <x v="848"/>
    <n v="-0.05"/>
    <n v="-0.05"/>
    <n v="-0.86"/>
    <n v="-0.86"/>
    <s v="Fechamento"/>
  </r>
  <r>
    <n v="851"/>
    <x v="807"/>
    <n v="6.4618000000000002"/>
    <x v="849"/>
    <n v="0.1"/>
    <n v="0.1"/>
    <n v="1.57"/>
    <n v="1.56"/>
    <s v="Fechamento"/>
  </r>
  <r>
    <n v="852"/>
    <x v="808"/>
    <n v="6.4438000000000004"/>
    <x v="850"/>
    <n v="-0.02"/>
    <n v="-0.02"/>
    <n v="-0.28000000000000003"/>
    <n v="-0.27"/>
    <s v="Fechamento"/>
  </r>
  <r>
    <n v="853"/>
    <x v="809"/>
    <n v="6.4042000000000003"/>
    <x v="851"/>
    <n v="-0.04"/>
    <n v="-0.04"/>
    <n v="-0.61"/>
    <n v="-0.62"/>
    <s v="Fechamento"/>
  </r>
  <r>
    <n v="854"/>
    <x v="810"/>
    <n v="6.4257999999999997"/>
    <x v="852"/>
    <n v="0.02"/>
    <n v="0.02"/>
    <n v="0.34"/>
    <n v="0.34"/>
    <s v="Fechamento"/>
  </r>
  <r>
    <n v="855"/>
    <x v="811"/>
    <n v="6.4307999999999996"/>
    <x v="853"/>
    <n v="0"/>
    <n v="0"/>
    <n v="0.08"/>
    <n v="0.08"/>
    <s v="Fechamento"/>
  </r>
  <r>
    <n v="856"/>
    <x v="812"/>
    <n v="6.4776999999999996"/>
    <x v="854"/>
    <n v="0.05"/>
    <n v="0.05"/>
    <n v="0.73"/>
    <n v="0.72"/>
    <s v="Fechamento"/>
  </r>
  <r>
    <n v="857"/>
    <x v="813"/>
    <n v="6.5084999999999997"/>
    <x v="855"/>
    <n v="0.03"/>
    <n v="0.03"/>
    <n v="0.48"/>
    <n v="0.48"/>
    <s v="Fechamento"/>
  </r>
  <r>
    <n v="858"/>
    <x v="814"/>
    <n v="6.4478"/>
    <x v="856"/>
    <n v="-0.06"/>
    <n v="-0.06"/>
    <n v="-0.93"/>
    <n v="-0.93"/>
    <s v="Fechamento"/>
  </r>
  <r>
    <n v="859"/>
    <x v="815"/>
    <n v="6.4353999999999996"/>
    <x v="857"/>
    <n v="-0.01"/>
    <n v="-0.01"/>
    <n v="-0.19"/>
    <n v="-0.2"/>
    <s v="Fechamento"/>
  </r>
  <r>
    <n v="860"/>
    <x v="816"/>
    <n v="6.4023000000000003"/>
    <x v="858"/>
    <n v="-0.03"/>
    <n v="-0.03"/>
    <n v="-0.51"/>
    <n v="-0.51"/>
    <s v="Fechamento"/>
  </r>
  <r>
    <n v="861"/>
    <x v="817"/>
    <n v="6.3762999999999996"/>
    <x v="859"/>
    <n v="-0.03"/>
    <n v="-0.03"/>
    <n v="-0.41"/>
    <n v="-0.41"/>
    <s v="Fechamento"/>
  </r>
  <r>
    <n v="862"/>
    <x v="818"/>
    <n v="6.3705999999999996"/>
    <x v="860"/>
    <n v="-0.01"/>
    <n v="-0.01"/>
    <n v="-0.09"/>
    <n v="-0.08"/>
    <s v="Fechamento"/>
  </r>
  <r>
    <n v="863"/>
    <x v="819"/>
    <n v="6.3468"/>
    <x v="861"/>
    <n v="-0.02"/>
    <n v="-0.02"/>
    <n v="-0.37"/>
    <n v="-0.38"/>
    <s v="Fechamento"/>
  </r>
  <r>
    <n v="864"/>
    <x v="820"/>
    <n v="6.3643000000000001"/>
    <x v="862"/>
    <n v="0.02"/>
    <n v="0.02"/>
    <n v="0.28000000000000003"/>
    <n v="0.28999999999999998"/>
    <s v="Fechamento"/>
  </r>
  <r>
    <n v="865"/>
    <x v="821"/>
    <n v="6.4127999999999998"/>
    <x v="863"/>
    <n v="0.05"/>
    <n v="0.05"/>
    <n v="0.76"/>
    <n v="0.75"/>
    <s v="Fechamento"/>
  </r>
  <r>
    <n v="866"/>
    <x v="822"/>
    <n v="6.4322999999999997"/>
    <x v="864"/>
    <n v="0.02"/>
    <n v="0.02"/>
    <n v="0.3"/>
    <n v="0.31"/>
    <s v="Fechamento"/>
  </r>
  <r>
    <n v="867"/>
    <x v="823"/>
    <n v="6.3837999999999999"/>
    <x v="865"/>
    <n v="-0.05"/>
    <n v="-0.05"/>
    <n v="-0.75"/>
    <n v="-0.76"/>
    <s v="Fechamento"/>
  </r>
  <r>
    <n v="868"/>
    <x v="824"/>
    <n v="6.3181000000000003"/>
    <x v="866"/>
    <n v="-7.0000000000000007E-2"/>
    <n v="-7.0000000000000007E-2"/>
    <n v="-1.03"/>
    <n v="-1.03"/>
    <s v="Fechamento"/>
  </r>
  <r>
    <n v="869"/>
    <x v="825"/>
    <n v="6.3226000000000004"/>
    <x v="867"/>
    <n v="0"/>
    <n v="0"/>
    <n v="7.0000000000000007E-2"/>
    <n v="7.0000000000000007E-2"/>
    <s v="Fechamento"/>
  </r>
  <r>
    <n v="870"/>
    <x v="826"/>
    <n v="6.3315999999999999"/>
    <x v="868"/>
    <n v="0.01"/>
    <n v="0.01"/>
    <n v="0.14000000000000001"/>
    <n v="0.14000000000000001"/>
    <s v="Fechamento"/>
  </r>
  <r>
    <n v="871"/>
    <x v="827"/>
    <n v="6.3710000000000004"/>
    <x v="869"/>
    <n v="0.04"/>
    <n v="0.04"/>
    <n v="0.62"/>
    <n v="0.62"/>
    <s v="Fechamento"/>
  </r>
  <r>
    <n v="872"/>
    <x v="828"/>
    <n v="6.3772000000000002"/>
    <x v="870"/>
    <n v="0.01"/>
    <n v="0.01"/>
    <n v="0.1"/>
    <n v="0.11"/>
    <s v="Fechamento"/>
  </r>
  <r>
    <n v="873"/>
    <x v="829"/>
    <n v="6.4405999999999999"/>
    <x v="871"/>
    <n v="0.06"/>
    <n v="0.06"/>
    <n v="0.99"/>
    <n v="0.99"/>
    <s v="Fechamento"/>
  </r>
  <r>
    <n v="874"/>
    <x v="709"/>
    <n v="6.4612999999999996"/>
    <x v="872"/>
    <n v="0.02"/>
    <n v="0.02"/>
    <n v="0.32"/>
    <n v="0.32"/>
    <s v="Fechamento"/>
  </r>
  <r>
    <n v="875"/>
    <x v="830"/>
    <n v="6.4199000000000002"/>
    <x v="873"/>
    <n v="-0.04"/>
    <n v="-0.04"/>
    <n v="-0.64"/>
    <n v="-0.64"/>
    <s v="Fechamento"/>
  </r>
  <r>
    <n v="876"/>
    <x v="831"/>
    <n v="6.423"/>
    <x v="874"/>
    <n v="0"/>
    <n v="0"/>
    <n v="0.05"/>
    <n v="0.05"/>
    <s v="Fechamento"/>
  </r>
  <r>
    <n v="877"/>
    <x v="832"/>
    <n v="6.4192"/>
    <x v="875"/>
    <n v="0"/>
    <n v="0"/>
    <n v="-0.06"/>
    <n v="-0.06"/>
    <s v="Fechamento"/>
  </r>
  <r>
    <n v="878"/>
    <x v="833"/>
    <n v="6.4269999999999996"/>
    <x v="876"/>
    <n v="0.01"/>
    <n v="0.01"/>
    <n v="0.12"/>
    <n v="0.12"/>
    <s v="Fechamento"/>
  </r>
  <r>
    <n v="879"/>
    <x v="834"/>
    <n v="6.3738000000000001"/>
    <x v="877"/>
    <n v="-0.05"/>
    <n v="-0.05"/>
    <n v="-0.83"/>
    <n v="-0.83"/>
    <s v="Fechamento"/>
  </r>
  <r>
    <n v="880"/>
    <x v="835"/>
    <n v="6.3718000000000004"/>
    <x v="878"/>
    <n v="0"/>
    <n v="0"/>
    <n v="-0.03"/>
    <n v="-0.05"/>
    <s v="Fechamento"/>
  </r>
  <r>
    <n v="881"/>
    <x v="836"/>
    <n v="6.4005999999999998"/>
    <x v="879"/>
    <n v="0.03"/>
    <n v="0.03"/>
    <n v="0.45"/>
    <n v="0.47"/>
    <s v="Fechamento"/>
  </r>
  <r>
    <n v="882"/>
    <x v="837"/>
    <n v="6.3891999999999998"/>
    <x v="880"/>
    <n v="-0.01"/>
    <n v="-0.01"/>
    <n v="-0.18"/>
    <n v="-0.19"/>
    <s v="Fechamento"/>
  </r>
  <r>
    <n v="883"/>
    <x v="838"/>
    <n v="6.3951000000000002"/>
    <x v="881"/>
    <n v="0.01"/>
    <n v="0.01"/>
    <n v="0.09"/>
    <n v="0.09"/>
    <s v="Fechamento"/>
  </r>
  <r>
    <n v="884"/>
    <x v="839"/>
    <n v="6.4795999999999996"/>
    <x v="882"/>
    <n v="0.08"/>
    <n v="0.08"/>
    <n v="1.32"/>
    <n v="1.32"/>
    <s v="Fechamento"/>
  </r>
  <r>
    <n v="885"/>
    <x v="840"/>
    <n v="6.5178000000000003"/>
    <x v="883"/>
    <n v="0.04"/>
    <n v="0.04"/>
    <n v="0.59"/>
    <n v="0.59"/>
    <s v="Fechamento"/>
  </r>
  <r>
    <n v="886"/>
    <x v="841"/>
    <n v="6.4889999999999999"/>
    <x v="884"/>
    <n v="-0.03"/>
    <n v="-0.03"/>
    <n v="-0.44"/>
    <n v="-0.43"/>
    <s v="Fechamento"/>
  </r>
  <r>
    <n v="887"/>
    <x v="842"/>
    <n v="6.4579000000000004"/>
    <x v="885"/>
    <n v="-0.03"/>
    <n v="-0.03"/>
    <n v="-0.48"/>
    <n v="-0.49"/>
    <s v="Fechamento"/>
  </r>
  <r>
    <n v="888"/>
    <x v="843"/>
    <n v="6.4794"/>
    <x v="886"/>
    <n v="0.02"/>
    <n v="0.02"/>
    <n v="0.33"/>
    <n v="0.33"/>
    <s v="Fechamento"/>
  </r>
  <r>
    <n v="889"/>
    <x v="844"/>
    <n v="6.4644000000000004"/>
    <x v="887"/>
    <n v="-0.01"/>
    <n v="-0.01"/>
    <n v="-0.23"/>
    <n v="-0.22"/>
    <s v="Fechamento"/>
  </r>
  <r>
    <n v="890"/>
    <x v="845"/>
    <n v="6.4596"/>
    <x v="888"/>
    <n v="0"/>
    <n v="-0.01"/>
    <n v="-7.0000000000000007E-2"/>
    <n v="-0.08"/>
    <s v="Fechamento"/>
  </r>
  <r>
    <n v="891"/>
    <x v="846"/>
    <n v="6.5109000000000004"/>
    <x v="889"/>
    <n v="0.05"/>
    <n v="0.05"/>
    <n v="0.79"/>
    <n v="0.79"/>
    <s v="Fechamento"/>
  </r>
  <r>
    <n v="892"/>
    <x v="847"/>
    <n v="6.5453000000000001"/>
    <x v="890"/>
    <n v="0.03"/>
    <n v="0.03"/>
    <n v="0.53"/>
    <n v="0.54"/>
    <s v="Fechamento"/>
  </r>
  <r>
    <n v="893"/>
    <x v="848"/>
    <n v="6.5239000000000003"/>
    <x v="891"/>
    <n v="-0.02"/>
    <n v="-0.02"/>
    <n v="-0.33"/>
    <n v="-0.33"/>
    <s v="Fechamento"/>
  </r>
  <r>
    <n v="894"/>
    <x v="849"/>
    <n v="6.4988999999999999"/>
    <x v="892"/>
    <n v="-0.03"/>
    <n v="-0.03"/>
    <n v="-0.38"/>
    <n v="-0.38"/>
    <s v="Fechamento"/>
  </r>
  <r>
    <n v="895"/>
    <x v="850"/>
    <n v="6.5019999999999998"/>
    <x v="893"/>
    <n v="0"/>
    <n v="0"/>
    <n v="0.05"/>
    <n v="0.05"/>
    <s v="Fechamento"/>
  </r>
  <r>
    <n v="896"/>
    <x v="851"/>
    <n v="6.4873000000000003"/>
    <x v="894"/>
    <n v="-0.01"/>
    <n v="-0.01"/>
    <n v="-0.23"/>
    <n v="-0.23"/>
    <s v="Fechamento"/>
  </r>
  <r>
    <n v="897"/>
    <x v="852"/>
    <n v="6.4324000000000003"/>
    <x v="895"/>
    <n v="-0.05"/>
    <n v="-0.05"/>
    <n v="-0.85"/>
    <n v="-0.84"/>
    <s v="Fechamento"/>
  </r>
  <r>
    <n v="898"/>
    <x v="853"/>
    <n v="6.4271000000000003"/>
    <x v="896"/>
    <n v="-0.01"/>
    <n v="-0.01"/>
    <n v="-0.08"/>
    <n v="-0.09"/>
    <s v="Fechamento"/>
  </r>
  <r>
    <n v="899"/>
    <x v="854"/>
    <n v="6.4038000000000004"/>
    <x v="897"/>
    <n v="-0.02"/>
    <n v="-0.02"/>
    <n v="-0.36"/>
    <n v="-0.36"/>
    <s v="Fechamento"/>
  </r>
  <r>
    <n v="900"/>
    <x v="855"/>
    <n v="6.4051"/>
    <x v="898"/>
    <n v="0"/>
    <n v="0"/>
    <n v="0.02"/>
    <n v="0.03"/>
    <s v="Fechamento"/>
  </r>
  <r>
    <n v="901"/>
    <x v="856"/>
    <n v="6.3754999999999997"/>
    <x v="899"/>
    <n v="-0.03"/>
    <n v="-0.03"/>
    <n v="-0.46"/>
    <n v="-0.46"/>
    <s v="Fechamento"/>
  </r>
  <r>
    <n v="902"/>
    <x v="857"/>
    <n v="6.3827999999999996"/>
    <x v="900"/>
    <n v="0.01"/>
    <n v="0.01"/>
    <n v="0.11"/>
    <n v="0.11"/>
    <s v="Fechamento"/>
  </r>
  <r>
    <n v="903"/>
    <x v="858"/>
    <n v="6.3827999999999996"/>
    <x v="901"/>
    <n v="0"/>
    <n v="0"/>
    <n v="0"/>
    <n v="-0.01"/>
    <s v="Fechamento"/>
  </r>
  <r>
    <n v="904"/>
    <x v="859"/>
    <n v="6.3604000000000003"/>
    <x v="902"/>
    <n v="-0.02"/>
    <n v="-0.02"/>
    <n v="-0.35"/>
    <n v="-0.35"/>
    <s v="Fechamento"/>
  </r>
  <r>
    <n v="905"/>
    <x v="860"/>
    <n v="6.3259999999999996"/>
    <x v="903"/>
    <n v="-0.03"/>
    <n v="-0.03"/>
    <n v="-0.54"/>
    <n v="-0.53"/>
    <s v="Fechamento"/>
  </r>
  <r>
    <n v="906"/>
    <x v="861"/>
    <n v="6.3231999999999999"/>
    <x v="904"/>
    <n v="0"/>
    <n v="0"/>
    <n v="-0.04"/>
    <n v="-0.05"/>
    <s v="Fechamento"/>
  </r>
  <r>
    <n v="907"/>
    <x v="862"/>
    <n v="6.3094999999999999"/>
    <x v="905"/>
    <n v="-0.01"/>
    <n v="-0.01"/>
    <n v="-0.22"/>
    <n v="-0.22"/>
    <s v="Fechamento"/>
  </r>
  <r>
    <n v="908"/>
    <x v="863"/>
    <n v="6.3170999999999999"/>
    <x v="906"/>
    <n v="0.01"/>
    <n v="0.01"/>
    <n v="0.12"/>
    <n v="0.13"/>
    <s v="Fechamento"/>
  </r>
  <r>
    <n v="909"/>
    <x v="864"/>
    <n v="6.2988"/>
    <x v="907"/>
    <n v="-0.02"/>
    <n v="-0.02"/>
    <n v="-0.28999999999999998"/>
    <n v="-0.3"/>
    <s v="Fechamento"/>
  </r>
  <r>
    <n v="910"/>
    <x v="865"/>
    <n v="6.3133999999999997"/>
    <x v="908"/>
    <n v="0.01"/>
    <n v="0.01"/>
    <n v="0.23"/>
    <n v="0.23"/>
    <s v="Fechamento"/>
  </r>
  <r>
    <n v="911"/>
    <x v="866"/>
    <n v="6.3182999999999998"/>
    <x v="909"/>
    <n v="0"/>
    <n v="0"/>
    <n v="0.08"/>
    <n v="0.08"/>
    <s v="Fechamento"/>
  </r>
  <r>
    <n v="912"/>
    <x v="867"/>
    <n v="6.3799000000000001"/>
    <x v="910"/>
    <n v="0.06"/>
    <n v="0.06"/>
    <n v="0.97"/>
    <n v="0.98"/>
    <s v="Fechamento"/>
  </r>
  <r>
    <n v="913"/>
    <x v="868"/>
    <n v="6.375"/>
    <x v="911"/>
    <n v="0"/>
    <n v="0"/>
    <n v="-0.08"/>
    <n v="-0.08"/>
    <s v="Fechamento"/>
  </r>
  <r>
    <n v="914"/>
    <x v="869"/>
    <n v="6.3628"/>
    <x v="912"/>
    <n v="-0.01"/>
    <n v="-0.01"/>
    <n v="-0.19"/>
    <n v="-0.2"/>
    <s v="Fechamento"/>
  </r>
  <r>
    <n v="915"/>
    <x v="870"/>
    <n v="6.3708999999999998"/>
    <x v="913"/>
    <n v="0.01"/>
    <n v="0.01"/>
    <n v="0.13"/>
    <n v="0.13"/>
    <s v="Fechamento"/>
  </r>
  <r>
    <n v="916"/>
    <x v="871"/>
    <n v="6.3226000000000004"/>
    <x v="914"/>
    <n v="-0.05"/>
    <n v="-0.05"/>
    <n v="-0.76"/>
    <n v="-0.76"/>
    <s v="Fechamento"/>
  </r>
  <r>
    <n v="917"/>
    <x v="872"/>
    <n v="6.3207000000000004"/>
    <x v="915"/>
    <n v="0"/>
    <n v="0"/>
    <n v="-0.03"/>
    <n v="-0.04"/>
    <s v="Fechamento"/>
  </r>
  <r>
    <n v="918"/>
    <x v="872"/>
    <n v="6.3196000000000003"/>
    <x v="916"/>
    <n v="0"/>
    <n v="0"/>
    <n v="-0.02"/>
    <n v="0"/>
    <s v="Fechamento"/>
  </r>
  <r>
    <n v="919"/>
    <x v="716"/>
    <n v="6.3174000000000001"/>
    <x v="917"/>
    <n v="0"/>
    <n v="0"/>
    <n v="-0.03"/>
    <n v="-0.04"/>
    <s v="Fechamento"/>
  </r>
  <r>
    <n v="920"/>
    <x v="873"/>
    <n v="6.3467000000000002"/>
    <x v="918"/>
    <n v="0.03"/>
    <n v="0.03"/>
    <n v="0.46"/>
    <n v="0.46"/>
    <s v="Fechamento"/>
  </r>
  <r>
    <n v="921"/>
    <x v="869"/>
    <n v="6.3628"/>
    <x v="919"/>
    <n v="0.02"/>
    <n v="0.02"/>
    <n v="0.25"/>
    <n v="0.25"/>
    <s v="Fechamento"/>
  </r>
  <r>
    <n v="922"/>
    <x v="874"/>
    <n v="6.3723999999999998"/>
    <x v="920"/>
    <n v="0.01"/>
    <n v="0.01"/>
    <n v="0.15"/>
    <n v="0.16"/>
    <s v="Fechamento"/>
  </r>
  <r>
    <n v="923"/>
    <x v="875"/>
    <n v="6.3616999999999999"/>
    <x v="921"/>
    <n v="-0.01"/>
    <n v="-0.01"/>
    <n v="-0.17"/>
    <n v="-0.17"/>
    <s v="Fechamento"/>
  </r>
  <r>
    <n v="924"/>
    <x v="876"/>
    <n v="6.3587999999999996"/>
    <x v="922"/>
    <n v="0"/>
    <n v="0"/>
    <n v="-0.05"/>
    <n v="-0.04"/>
    <s v="Fechamento"/>
  </r>
  <r>
    <n v="925"/>
    <x v="873"/>
    <n v="6.3460999999999999"/>
    <x v="923"/>
    <n v="-0.01"/>
    <n v="-0.01"/>
    <n v="-0.2"/>
    <n v="-0.2"/>
    <s v="Fechamento"/>
  </r>
  <r>
    <n v="926"/>
    <x v="877"/>
    <n v="6.3781999999999996"/>
    <x v="924"/>
    <n v="0.03"/>
    <n v="0.03"/>
    <n v="0.51"/>
    <n v="0.51"/>
    <s v="Fechamento"/>
  </r>
  <r>
    <n v="927"/>
    <x v="878"/>
    <n v="6.3630000000000004"/>
    <x v="925"/>
    <n v="-0.02"/>
    <n v="-0.02"/>
    <n v="-0.24"/>
    <n v="-0.25"/>
    <s v="Fechamento"/>
  </r>
  <r>
    <n v="928"/>
    <x v="879"/>
    <n v="6.3404999999999996"/>
    <x v="926"/>
    <n v="-0.02"/>
    <n v="-0.02"/>
    <n v="-0.35"/>
    <n v="-0.34"/>
    <s v="Fechamento"/>
  </r>
  <r>
    <n v="929"/>
    <x v="880"/>
    <n v="6.3192000000000004"/>
    <x v="927"/>
    <n v="-0.02"/>
    <n v="-0.02"/>
    <n v="-0.34"/>
    <n v="-0.35"/>
    <s v="Fechamento"/>
  </r>
  <r>
    <n v="930"/>
    <x v="881"/>
    <n v="6.2882999999999996"/>
    <x v="928"/>
    <n v="-0.03"/>
    <n v="-0.03"/>
    <n v="-0.49"/>
    <n v="-0.49"/>
    <s v="Fechamento"/>
  </r>
  <r>
    <n v="931"/>
    <x v="882"/>
    <n v="6.2641999999999998"/>
    <x v="929"/>
    <n v="-0.02"/>
    <n v="-0.02"/>
    <n v="-0.38"/>
    <n v="-0.38"/>
    <s v="Fechamento"/>
  </r>
  <r>
    <n v="932"/>
    <x v="883"/>
    <n v="6.2907999999999999"/>
    <x v="930"/>
    <n v="0.03"/>
    <n v="0.03"/>
    <n v="0.42"/>
    <n v="0.43"/>
    <s v="Fechamento"/>
  </r>
  <r>
    <n v="933"/>
    <x v="884"/>
    <n v="6.2797000000000001"/>
    <x v="931"/>
    <n v="-0.01"/>
    <n v="-0.01"/>
    <n v="-0.18"/>
    <n v="-0.19"/>
    <s v="Fechamento"/>
  </r>
  <r>
    <n v="934"/>
    <x v="885"/>
    <n v="6.2446000000000002"/>
    <x v="932"/>
    <n v="-0.04"/>
    <n v="-0.03"/>
    <n v="-0.56000000000000005"/>
    <n v="-0.55000000000000004"/>
    <s v="Fechamento"/>
  </r>
  <r>
    <n v="935"/>
    <x v="886"/>
    <n v="6.2621000000000002"/>
    <x v="933"/>
    <n v="0.02"/>
    <n v="0.02"/>
    <n v="0.28000000000000003"/>
    <n v="0.27"/>
    <s v="Fechamento"/>
  </r>
  <r>
    <n v="936"/>
    <x v="887"/>
    <n v="6.2930000000000001"/>
    <x v="934"/>
    <n v="0.03"/>
    <n v="0.03"/>
    <n v="0.49"/>
    <n v="0.5"/>
    <s v="Fechamento"/>
  </r>
  <r>
    <n v="937"/>
    <x v="888"/>
    <n v="6.2619999999999996"/>
    <x v="935"/>
    <n v="-0.03"/>
    <n v="-0.03"/>
    <n v="-0.49"/>
    <n v="-0.5"/>
    <s v="Fechamento"/>
  </r>
  <r>
    <n v="938"/>
    <x v="889"/>
    <n v="6.2369000000000003"/>
    <x v="936"/>
    <n v="-0.03"/>
    <n v="-0.03"/>
    <n v="-0.4"/>
    <n v="-0.4"/>
    <s v="Fechamento"/>
  </r>
  <r>
    <n v="939"/>
    <x v="890"/>
    <n v="6.2367999999999997"/>
    <x v="937"/>
    <n v="0"/>
    <n v="0"/>
    <n v="0"/>
    <n v="0"/>
    <s v="Fechamento"/>
  </r>
  <r>
    <n v="940"/>
    <x v="891"/>
    <n v="6.2488000000000001"/>
    <x v="938"/>
    <n v="0.01"/>
    <n v="0.01"/>
    <n v="0.19"/>
    <n v="0.2"/>
    <s v="Fechamento"/>
  </r>
  <r>
    <n v="941"/>
    <x v="892"/>
    <n v="6.2438000000000002"/>
    <x v="939"/>
    <n v="0"/>
    <n v="-0.01"/>
    <n v="-0.08"/>
    <n v="-0.08"/>
    <s v="Fechamento"/>
  </r>
  <r>
    <n v="942"/>
    <x v="893"/>
    <n v="6.2413999999999996"/>
    <x v="940"/>
    <n v="0"/>
    <n v="0"/>
    <n v="-0.04"/>
    <n v="-0.05"/>
    <s v="Fechamento"/>
  </r>
  <r>
    <n v="943"/>
    <x v="894"/>
    <n v="6.2375999999999996"/>
    <x v="941"/>
    <n v="0"/>
    <n v="0"/>
    <n v="-0.06"/>
    <n v="-0.06"/>
    <s v="Fechamento"/>
  </r>
  <r>
    <n v="944"/>
    <x v="895"/>
    <n v="6.2525000000000004"/>
    <x v="942"/>
    <n v="0.01"/>
    <n v="0.01"/>
    <n v="0.24"/>
    <n v="0.23"/>
    <s v="Fechamento"/>
  </r>
  <r>
    <n v="945"/>
    <x v="896"/>
    <n v="6.2843999999999998"/>
    <x v="943"/>
    <n v="0.03"/>
    <n v="0.03"/>
    <n v="0.51"/>
    <n v="0.52"/>
    <s v="Fechamento"/>
  </r>
  <r>
    <n v="946"/>
    <x v="897"/>
    <n v="6.2317"/>
    <x v="944"/>
    <n v="-0.05"/>
    <n v="-0.05"/>
    <n v="-0.84"/>
    <n v="-0.83"/>
    <s v="Fechamento"/>
  </r>
  <r>
    <n v="947"/>
    <x v="898"/>
    <n v="6.2301000000000002"/>
    <x v="945"/>
    <n v="0"/>
    <n v="0"/>
    <n v="-0.03"/>
    <n v="-0.03"/>
    <s v="Fechamento"/>
  </r>
  <r>
    <n v="948"/>
    <x v="899"/>
    <n v="6.2012999999999998"/>
    <x v="946"/>
    <n v="-0.03"/>
    <n v="-0.03"/>
    <n v="-0.46"/>
    <n v="-0.46"/>
    <s v="Fechamento"/>
  </r>
  <r>
    <n v="949"/>
    <x v="900"/>
    <n v="6.1890000000000001"/>
    <x v="947"/>
    <n v="-0.01"/>
    <n v="-0.01"/>
    <n v="-0.2"/>
    <n v="-0.2"/>
    <s v="Fechamento"/>
  </r>
  <r>
    <n v="950"/>
    <x v="901"/>
    <n v="6.3234000000000004"/>
    <x v="948"/>
    <n v="0.13"/>
    <n v="0.13"/>
    <n v="2.17"/>
    <n v="2.17"/>
    <s v="Fechamento"/>
  </r>
  <r>
    <n v="951"/>
    <x v="902"/>
    <n v="6.3239000000000001"/>
    <x v="949"/>
    <n v="0"/>
    <n v="0"/>
    <n v="0.01"/>
    <n v="0.01"/>
    <s v="Fechamento"/>
  </r>
  <r>
    <n v="952"/>
    <x v="903"/>
    <n v="6.3829000000000002"/>
    <x v="950"/>
    <n v="0.06"/>
    <n v="0.06"/>
    <n v="0.93"/>
    <n v="0.94"/>
    <s v="Fechamento"/>
  </r>
  <r>
    <n v="953"/>
    <x v="904"/>
    <n v="6.3391000000000002"/>
    <x v="951"/>
    <n v="-0.04"/>
    <n v="-0.04"/>
    <n v="-0.69"/>
    <n v="-0.69"/>
    <s v="Fechamento"/>
  </r>
  <r>
    <n v="954"/>
    <x v="905"/>
    <n v="6.3409000000000004"/>
    <x v="952"/>
    <n v="0"/>
    <n v="0"/>
    <n v="0.03"/>
    <n v="0.01"/>
    <s v="Fechamento"/>
  </r>
  <r>
    <n v="955"/>
    <x v="906"/>
    <n v="6.3489000000000004"/>
    <x v="953"/>
    <n v="0.01"/>
    <n v="0.01"/>
    <n v="0.13"/>
    <n v="0.15"/>
    <s v="Fechamento"/>
  </r>
  <r>
    <n v="956"/>
    <x v="907"/>
    <n v="6.2675000000000001"/>
    <x v="954"/>
    <n v="-0.08"/>
    <n v="-0.08"/>
    <n v="-1.28"/>
    <n v="-1.29"/>
    <s v="Fechamento"/>
  </r>
  <r>
    <n v="957"/>
    <x v="908"/>
    <n v="6.2549999999999999"/>
    <x v="955"/>
    <n v="-0.01"/>
    <n v="-0.01"/>
    <n v="-0.2"/>
    <n v="-0.2"/>
    <s v="Fechamento"/>
  </r>
  <r>
    <n v="958"/>
    <x v="909"/>
    <n v="6.2586000000000004"/>
    <x v="956"/>
    <n v="0"/>
    <n v="0"/>
    <n v="0.06"/>
    <n v="0.06"/>
    <s v="Fechamento"/>
  </r>
  <r>
    <n v="959"/>
    <x v="910"/>
    <n v="6.2523999999999997"/>
    <x v="957"/>
    <n v="-0.01"/>
    <n v="-0.01"/>
    <n v="-0.1"/>
    <n v="-0.1"/>
    <s v="Fechamento"/>
  </r>
  <r>
    <n v="960"/>
    <x v="911"/>
    <n v="6.2544000000000004"/>
    <x v="958"/>
    <n v="0"/>
    <n v="0"/>
    <n v="0.03"/>
    <n v="0.03"/>
    <s v="Fechamento"/>
  </r>
  <r>
    <n v="961"/>
    <x v="912"/>
    <n v="6.2537000000000003"/>
    <x v="959"/>
    <n v="0"/>
    <n v="0"/>
    <n v="-0.01"/>
    <n v="-0.01"/>
    <s v="Fechamento"/>
  </r>
  <r>
    <n v="962"/>
    <x v="913"/>
    <n v="6.2603"/>
    <x v="960"/>
    <n v="0.01"/>
    <n v="0.01"/>
    <n v="0.11"/>
    <n v="0.11"/>
    <s v="Fechamento"/>
  </r>
  <r>
    <n v="963"/>
    <x v="914"/>
    <n v="6.2304000000000004"/>
    <x v="961"/>
    <n v="-0.03"/>
    <n v="-0.03"/>
    <n v="-0.48"/>
    <n v="-0.47"/>
    <s v="Fechamento"/>
  </r>
  <r>
    <n v="964"/>
    <x v="915"/>
    <n v="6.2278000000000002"/>
    <x v="962"/>
    <n v="0"/>
    <n v="0"/>
    <n v="-0.04"/>
    <n v="-0.05"/>
    <s v="Fechamento"/>
  </r>
  <r>
    <n v="965"/>
    <x v="916"/>
    <n v="6.2140000000000004"/>
    <x v="963"/>
    <n v="-0.01"/>
    <n v="-0.01"/>
    <n v="-0.22"/>
    <n v="-0.21"/>
    <s v="Fechamento"/>
  </r>
  <r>
    <n v="966"/>
    <x v="917"/>
    <n v="6.1669999999999998"/>
    <x v="964"/>
    <n v="-0.05"/>
    <n v="-0.05"/>
    <n v="-0.76"/>
    <n v="-0.76"/>
    <s v="Fechamento"/>
  </r>
  <r>
    <n v="967"/>
    <x v="918"/>
    <n v="6.1879999999999997"/>
    <x v="965"/>
    <n v="0.02"/>
    <n v="0.02"/>
    <n v="0.34"/>
    <n v="0.34"/>
    <s v="Fechamento"/>
  </r>
  <r>
    <n v="968"/>
    <x v="919"/>
    <n v="6.1760000000000002"/>
    <x v="966"/>
    <n v="-0.01"/>
    <n v="-0.01"/>
    <n v="-0.19"/>
    <n v="-0.2"/>
    <s v="Fechamento"/>
  </r>
  <r>
    <n v="969"/>
    <x v="920"/>
    <n v="6.1688000000000001"/>
    <x v="967"/>
    <n v="-0.01"/>
    <n v="-0.01"/>
    <n v="-0.12"/>
    <n v="-0.12"/>
    <s v="Fechamento"/>
  </r>
  <r>
    <n v="970"/>
    <x v="921"/>
    <n v="6.1993"/>
    <x v="968"/>
    <n v="0.03"/>
    <n v="0.03"/>
    <n v="0.49"/>
    <n v="0.49"/>
    <s v="Fechamento"/>
  </r>
  <r>
    <n v="971"/>
    <x v="922"/>
    <n v="6.1402999999999999"/>
    <x v="969"/>
    <n v="-0.06"/>
    <n v="-0.06"/>
    <n v="-0.95"/>
    <n v="-0.94"/>
    <s v="Fechamento"/>
  </r>
  <r>
    <n v="972"/>
    <x v="923"/>
    <n v="6.1144999999999996"/>
    <x v="970"/>
    <n v="-0.03"/>
    <n v="-0.03"/>
    <n v="-0.42"/>
    <n v="-0.43"/>
    <s v="Fechamento"/>
  </r>
  <r>
    <n v="973"/>
    <x v="924"/>
    <n v="6.1319999999999997"/>
    <x v="971"/>
    <n v="0.02"/>
    <n v="0.02"/>
    <n v="0.28999999999999998"/>
    <n v="0.28999999999999998"/>
    <s v="Fechamento"/>
  </r>
  <r>
    <n v="974"/>
    <x v="925"/>
    <n v="6.1482000000000001"/>
    <x v="972"/>
    <n v="0.02"/>
    <n v="0.02"/>
    <n v="0.26"/>
    <n v="0.26"/>
    <s v="Fechamento"/>
  </r>
  <r>
    <n v="975"/>
    <x v="926"/>
    <n v="6.1497999999999999"/>
    <x v="973"/>
    <n v="0"/>
    <n v="0"/>
    <n v="0.03"/>
    <n v="0.03"/>
    <s v="Fechamento"/>
  </r>
  <r>
    <n v="976"/>
    <x v="927"/>
    <n v="6.1595000000000004"/>
    <x v="974"/>
    <n v="0.01"/>
    <n v="0.01"/>
    <n v="0.16"/>
    <n v="0.16"/>
    <s v="Fechamento"/>
  </r>
  <r>
    <n v="977"/>
    <x v="928"/>
    <n v="6.1807999999999996"/>
    <x v="975"/>
    <n v="0.02"/>
    <n v="0.02"/>
    <n v="0.35"/>
    <n v="0.35"/>
    <s v="Fechamento"/>
  </r>
  <r>
    <n v="978"/>
    <x v="929"/>
    <n v="6.1604000000000001"/>
    <x v="976"/>
    <n v="-0.02"/>
    <n v="-0.02"/>
    <n v="-0.33"/>
    <n v="-0.34"/>
    <s v="Fechamento"/>
  </r>
  <r>
    <n v="979"/>
    <x v="930"/>
    <n v="6.2003000000000004"/>
    <x v="977"/>
    <n v="0.04"/>
    <n v="0.04"/>
    <n v="0.65"/>
    <n v="0.66"/>
    <s v="Fechamento"/>
  </r>
  <r>
    <n v="980"/>
    <x v="931"/>
    <n v="6.2202000000000002"/>
    <x v="978"/>
    <n v="0.02"/>
    <n v="0.02"/>
    <n v="0.32"/>
    <n v="0.32"/>
    <s v="Fechamento"/>
  </r>
  <r>
    <n v="981"/>
    <x v="932"/>
    <n v="6.2256"/>
    <x v="979"/>
    <n v="0.01"/>
    <n v="0.01"/>
    <n v="0.09"/>
    <n v="0.09"/>
    <s v="Fechamento"/>
  </r>
  <r>
    <n v="982"/>
    <x v="933"/>
    <n v="6.2237"/>
    <x v="980"/>
    <n v="0"/>
    <n v="0"/>
    <n v="-0.03"/>
    <n v="-0.04"/>
    <s v="Fechamento"/>
  </r>
  <r>
    <n v="983"/>
    <x v="934"/>
    <n v="6.2022000000000004"/>
    <x v="981"/>
    <n v="-0.02"/>
    <n v="-0.02"/>
    <n v="-0.35"/>
    <n v="-0.34"/>
    <s v="Fechamento"/>
  </r>
  <r>
    <n v="984"/>
    <x v="935"/>
    <n v="6.1914999999999996"/>
    <x v="982"/>
    <n v="-0.01"/>
    <n v="-0.01"/>
    <n v="-0.17"/>
    <n v="-0.17"/>
    <s v="Fechamento"/>
  </r>
  <r>
    <n v="985"/>
    <x v="936"/>
    <n v="6.2179000000000002"/>
    <x v="983"/>
    <n v="0.03"/>
    <n v="0.03"/>
    <n v="0.43"/>
    <n v="0.43"/>
    <s v="Fechamento"/>
  </r>
  <r>
    <n v="986"/>
    <x v="937"/>
    <n v="6.2057000000000002"/>
    <x v="984"/>
    <n v="-0.01"/>
    <n v="-0.01"/>
    <n v="-0.2"/>
    <n v="-0.2"/>
    <s v="Fechamento"/>
  </r>
  <r>
    <n v="987"/>
    <x v="938"/>
    <n v="6.1931000000000003"/>
    <x v="985"/>
    <n v="-0.01"/>
    <n v="-0.01"/>
    <n v="-0.2"/>
    <n v="-0.2"/>
    <s v="Fechamento"/>
  </r>
  <r>
    <n v="988"/>
    <x v="939"/>
    <n v="6.1816000000000004"/>
    <x v="986"/>
    <n v="-0.01"/>
    <n v="-0.01"/>
    <n v="-0.19"/>
    <n v="-0.19"/>
    <s v="Fechamento"/>
  </r>
  <r>
    <n v="989"/>
    <x v="940"/>
    <n v="6.2210999999999999"/>
    <x v="987"/>
    <n v="0.04"/>
    <n v="0.04"/>
    <n v="0.64"/>
    <n v="0.63"/>
    <s v="Fechamento"/>
  </r>
  <r>
    <n v="990"/>
    <x v="941"/>
    <n v="6.3064"/>
    <x v="988"/>
    <n v="0.09"/>
    <n v="0.09"/>
    <n v="1.37"/>
    <n v="1.38"/>
    <s v="Fechamento"/>
  </r>
  <r>
    <n v="991"/>
    <x v="942"/>
    <n v="6.3464999999999998"/>
    <x v="989"/>
    <n v="0.04"/>
    <n v="0.04"/>
    <n v="0.64"/>
    <n v="0.63"/>
    <s v="Fechamento"/>
  </r>
  <r>
    <n v="992"/>
    <x v="943"/>
    <n v="6.3635999999999999"/>
    <x v="990"/>
    <n v="0.02"/>
    <n v="0.02"/>
    <n v="0.27"/>
    <n v="0.27"/>
    <s v="Fechamento"/>
  </r>
  <r>
    <n v="993"/>
    <x v="944"/>
    <n v="6.3765999999999998"/>
    <x v="991"/>
    <n v="0.01"/>
    <n v="0.01"/>
    <n v="0.2"/>
    <n v="0.21"/>
    <s v="Fechamento"/>
  </r>
  <r>
    <n v="994"/>
    <x v="945"/>
    <n v="6.3403999999999998"/>
    <x v="992"/>
    <n v="-0.04"/>
    <n v="-0.04"/>
    <n v="-0.56999999999999995"/>
    <n v="-0.56999999999999995"/>
    <s v="Fechamento"/>
  </r>
  <r>
    <n v="995"/>
    <x v="946"/>
    <n v="6.3441999999999998"/>
    <x v="993"/>
    <n v="0"/>
    <n v="0"/>
    <n v="0.06"/>
    <n v="0.05"/>
    <s v="Fechamento"/>
  </r>
  <r>
    <n v="996"/>
    <x v="947"/>
    <n v="6.4157999999999999"/>
    <x v="994"/>
    <n v="7.0000000000000007E-2"/>
    <n v="7.0000000000000007E-2"/>
    <n v="1.1299999999999999"/>
    <n v="1.1299999999999999"/>
    <s v="Fechamento"/>
  </r>
  <r>
    <n v="997"/>
    <x v="948"/>
    <n v="6.4756"/>
    <x v="995"/>
    <n v="0.06"/>
    <n v="0.06"/>
    <n v="0.93"/>
    <n v="0.93"/>
    <s v="Fechamento"/>
  </r>
  <r>
    <n v="998"/>
    <x v="949"/>
    <n v="6.4836"/>
    <x v="996"/>
    <n v="0.01"/>
    <n v="0.01"/>
    <n v="0.12"/>
    <n v="0.12"/>
    <s v="Fechamento"/>
  </r>
  <r>
    <n v="999"/>
    <x v="950"/>
    <n v="6.4598000000000004"/>
    <x v="997"/>
    <n v="-0.02"/>
    <n v="-0.02"/>
    <n v="-0.37"/>
    <n v="-0.37"/>
    <s v="Fechamento"/>
  </r>
  <r>
    <n v="1000"/>
    <x v="951"/>
    <n v="6.5164999999999997"/>
    <x v="998"/>
    <n v="0.06"/>
    <n v="0.06"/>
    <n v="0.88"/>
    <n v="0.88"/>
    <s v="Fechamento"/>
  </r>
  <r>
    <n v="17001"/>
    <x v="952"/>
    <n v="6.3898000000000001"/>
    <x v="999"/>
    <n v="-0.13"/>
    <n v="-0.13"/>
    <n v="-1.94"/>
    <n v="-1.94"/>
    <s v="Fechamento"/>
  </r>
  <r>
    <n v="17002"/>
    <x v="953"/>
    <n v="6.3617999999999997"/>
    <x v="1000"/>
    <n v="-0.03"/>
    <n v="-0.03"/>
    <n v="-0.44"/>
    <n v="-0.43"/>
    <s v="Fechamento"/>
  </r>
  <r>
    <n v="17003"/>
    <x v="954"/>
    <n v="6.2920999999999996"/>
    <x v="1001"/>
    <n v="-7.0000000000000007E-2"/>
    <n v="-7.0000000000000007E-2"/>
    <n v="-1.1000000000000001"/>
    <n v="-1.0900000000000001"/>
    <s v="Fechamento"/>
  </r>
  <r>
    <n v="17004"/>
    <x v="955"/>
    <n v="6.2991000000000001"/>
    <x v="1002"/>
    <n v="0.01"/>
    <n v="0.01"/>
    <n v="0.11"/>
    <n v="0.1"/>
    <s v="Fechamento"/>
  </r>
  <r>
    <n v="17005"/>
    <x v="956"/>
    <n v="6.2838000000000003"/>
    <x v="1003"/>
    <n v="-0.02"/>
    <n v="-0.02"/>
    <n v="-0.24"/>
    <n v="-0.24"/>
    <s v="Fechamento"/>
  </r>
  <r>
    <n v="17006"/>
    <x v="957"/>
    <n v="6.2526000000000002"/>
    <x v="1004"/>
    <n v="-0.03"/>
    <n v="-0.03"/>
    <n v="-0.5"/>
    <n v="-0.5"/>
    <s v="Fechamento"/>
  </r>
  <r>
    <n v="17007"/>
    <x v="958"/>
    <n v="6.2801999999999998"/>
    <x v="1005"/>
    <n v="0.03"/>
    <n v="0.03"/>
    <n v="0.44"/>
    <n v="0.45"/>
    <s v="Fechamento"/>
  </r>
  <r>
    <n v="17008"/>
    <x v="959"/>
    <n v="6.2651000000000003"/>
    <x v="1006"/>
    <n v="-0.02"/>
    <n v="-0.02"/>
    <n v="-0.24"/>
    <n v="-0.25"/>
    <s v="Fechamento"/>
  </r>
  <r>
    <n v="17009"/>
    <x v="673"/>
    <n v="6.2729999999999997"/>
    <x v="1007"/>
    <n v="0.01"/>
    <n v="0.01"/>
    <n v="0.13"/>
    <n v="0.13"/>
    <s v="Fechamento"/>
  </r>
  <r>
    <n v="17010"/>
    <x v="960"/>
    <n v="6.2477999999999998"/>
    <x v="1008"/>
    <n v="-0.03"/>
    <n v="-0.02"/>
    <n v="-0.4"/>
    <n v="-0.4"/>
    <s v="Fechamento"/>
  </r>
  <r>
    <n v="17011"/>
    <x v="961"/>
    <n v="6.2384000000000004"/>
    <x v="1009"/>
    <n v="-0.01"/>
    <n v="-0.01"/>
    <n v="-0.15"/>
    <n v="-0.16"/>
    <s v="Fechamento"/>
  </r>
  <r>
    <n v="17012"/>
    <x v="962"/>
    <n v="6.2457000000000003"/>
    <x v="1010"/>
    <n v="0.01"/>
    <n v="0.01"/>
    <n v="0.12"/>
    <n v="0.12"/>
    <s v="Fechamento"/>
  </r>
  <r>
    <n v="17013"/>
    <x v="963"/>
    <n v="6.3085000000000004"/>
    <x v="1011"/>
    <n v="0.06"/>
    <n v="0.06"/>
    <n v="1.01"/>
    <n v="1.01"/>
    <s v="Fechamento"/>
  </r>
  <r>
    <n v="17014"/>
    <x v="634"/>
    <n v="6.2450999999999999"/>
    <x v="1012"/>
    <n v="-0.06"/>
    <n v="-0.06"/>
    <n v="-1"/>
    <n v="-1"/>
    <s v="Fechamento"/>
  </r>
  <r>
    <n v="17015"/>
    <x v="964"/>
    <n v="6.2333999999999996"/>
    <x v="1013"/>
    <n v="-0.01"/>
    <n v="-0.01"/>
    <n v="-0.19"/>
    <n v="-0.19"/>
    <s v="Fechamento"/>
  </r>
  <r>
    <n v="17016"/>
    <x v="965"/>
    <n v="6.218"/>
    <x v="1014"/>
    <n v="-0.02"/>
    <n v="-0.02"/>
    <n v="-0.25"/>
    <n v="-0.26"/>
    <s v="Fechamento"/>
  </r>
  <r>
    <n v="17017"/>
    <x v="966"/>
    <n v="6.2763"/>
    <x v="1015"/>
    <n v="0.06"/>
    <n v="0.06"/>
    <n v="0.94"/>
    <n v="0.94"/>
    <s v="Fechamento"/>
  </r>
  <r>
    <n v="17018"/>
    <x v="967"/>
    <n v="6.2618999999999998"/>
    <x v="1016"/>
    <n v="-0.01"/>
    <n v="-0.01"/>
    <n v="-0.23"/>
    <n v="-0.23"/>
    <s v="Fechamento"/>
  </r>
  <r>
    <n v="17019"/>
    <x v="968"/>
    <n v="6.1925999999999997"/>
    <x v="1017"/>
    <n v="-7.0000000000000007E-2"/>
    <n v="-7.0000000000000007E-2"/>
    <n v="-1.1100000000000001"/>
    <n v="-1.1100000000000001"/>
    <s v="Fechamento"/>
  </r>
  <r>
    <n v="17020"/>
    <x v="969"/>
    <n v="6.1984000000000004"/>
    <x v="1018"/>
    <n v="0.01"/>
    <n v="0.01"/>
    <n v="0.09"/>
    <n v="0.09"/>
    <s v="Fechamento"/>
  </r>
  <r>
    <n v="17021"/>
    <x v="970"/>
    <n v="6.2217000000000002"/>
    <x v="1019"/>
    <n v="0.02"/>
    <n v="0.02"/>
    <n v="0.38"/>
    <n v="0.38"/>
    <s v="Fechamento"/>
  </r>
  <r>
    <n v="17022"/>
    <x v="971"/>
    <n v="6.2016"/>
    <x v="1020"/>
    <n v="-0.02"/>
    <n v="-0.02"/>
    <n v="-0.32"/>
    <n v="-0.32"/>
    <s v="Fechamento"/>
  </r>
  <r>
    <n v="17023"/>
    <x v="972"/>
    <n v="6.1711999999999998"/>
    <x v="1021"/>
    <n v="-0.03"/>
    <n v="-0.03"/>
    <n v="-0.49"/>
    <n v="-0.5"/>
    <s v="Fechamento"/>
  </r>
  <r>
    <n v="17024"/>
    <x v="615"/>
    <n v="6.1768000000000001"/>
    <x v="1022"/>
    <n v="0.01"/>
    <n v="0.01"/>
    <n v="0.09"/>
    <n v="0.09"/>
    <s v="Fechamento"/>
  </r>
  <r>
    <n v="17025"/>
    <x v="973"/>
    <n v="6.2001999999999997"/>
    <x v="1023"/>
    <n v="0.02"/>
    <n v="0.02"/>
    <n v="0.38"/>
    <n v="0.38"/>
    <s v="Fechamento"/>
  </r>
  <r>
    <n v="17026"/>
    <x v="974"/>
    <n v="6.1867000000000001"/>
    <x v="1024"/>
    <n v="-0.01"/>
    <n v="-0.01"/>
    <n v="-0.22"/>
    <n v="-0.21"/>
    <s v="Fechamento"/>
  </r>
  <r>
    <n v="17027"/>
    <x v="975"/>
    <n v="6.1879999999999997"/>
    <x v="1025"/>
    <n v="0"/>
    <n v="0"/>
    <n v="0.02"/>
    <n v="0.02"/>
    <s v="Fechamento"/>
  </r>
  <r>
    <n v="17028"/>
    <x v="976"/>
    <n v="6.1982999999999997"/>
    <x v="1026"/>
    <n v="0.01"/>
    <n v="0.01"/>
    <n v="0.17"/>
    <n v="0.16"/>
    <s v="Fechamento"/>
  </r>
  <r>
    <n v="17029"/>
    <x v="977"/>
    <n v="6.1477000000000004"/>
    <x v="1027"/>
    <n v="-0.05"/>
    <n v="-0.05"/>
    <n v="-0.82"/>
    <n v="-0.81"/>
    <s v="Fechamento"/>
  </r>
  <r>
    <n v="17030"/>
    <x v="978"/>
    <n v="6.1425000000000001"/>
    <x v="1028"/>
    <n v="-0.01"/>
    <n v="-0.01"/>
    <n v="-0.08"/>
    <n v="-0.09"/>
    <s v="Fechamento"/>
  </r>
  <r>
    <n v="17031"/>
    <x v="979"/>
    <n v="6.1955999999999998"/>
    <x v="1029"/>
    <n v="0.05"/>
    <n v="0.05"/>
    <n v="0.86"/>
    <n v="0.87"/>
    <s v="Fechamento"/>
  </r>
  <r>
    <n v="17032"/>
    <x v="980"/>
    <n v="6.1745999999999999"/>
    <x v="1030"/>
    <n v="-0.02"/>
    <n v="-0.02"/>
    <n v="-0.34"/>
    <n v="-0.34"/>
    <s v="Fechamento"/>
  </r>
  <r>
    <n v="17033"/>
    <x v="981"/>
    <n v="6.1475"/>
    <x v="1031"/>
    <n v="-0.03"/>
    <n v="-0.03"/>
    <n v="-0.44"/>
    <n v="-0.45"/>
    <s v="Fechamento"/>
  </r>
  <r>
    <n v="17034"/>
    <x v="609"/>
    <n v="6.1310000000000002"/>
    <x v="1032"/>
    <n v="-0.02"/>
    <n v="-0.02"/>
    <n v="-0.27"/>
    <n v="-0.27"/>
    <s v="Fechamento"/>
  </r>
  <r>
    <n v="17035"/>
    <x v="982"/>
    <n v="6.0903"/>
    <x v="1033"/>
    <n v="-0.04"/>
    <n v="-0.04"/>
    <n v="-0.66"/>
    <n v="-0.65"/>
    <s v="Fechamento"/>
  </r>
  <r>
    <n v="17036"/>
    <x v="983"/>
    <n v="6.0845000000000002"/>
    <x v="1034"/>
    <n v="-0.01"/>
    <n v="-0.01"/>
    <n v="-0.1"/>
    <n v="-0.1"/>
    <s v="Fechamento"/>
  </r>
  <r>
    <n v="17037"/>
    <x v="984"/>
    <n v="6.0709"/>
    <x v="1035"/>
    <n v="-0.01"/>
    <n v="-0.01"/>
    <n v="-0.22"/>
    <n v="-0.22"/>
    <s v="Fechamento"/>
  </r>
  <r>
    <n v="17038"/>
    <x v="985"/>
    <n v="6.0631000000000004"/>
    <x v="1036"/>
    <n v="-0.01"/>
    <n v="-0.01"/>
    <n v="-0.13"/>
    <n v="-0.14000000000000001"/>
    <s v="Fechamento"/>
  </r>
  <r>
    <n v="17039"/>
    <x v="986"/>
    <n v="6.0795000000000003"/>
    <x v="1037"/>
    <n v="0.02"/>
    <n v="0.01"/>
    <n v="0.27"/>
    <n v="0.25"/>
    <s v="Fechamento"/>
  </r>
  <r>
    <n v="17040"/>
    <x v="987"/>
    <n v="6.0742000000000003"/>
    <x v="1038"/>
    <n v="-0.01"/>
    <n v="0"/>
    <n v="-0.09"/>
    <n v="-0.06"/>
    <s v="Fechamento"/>
  </r>
  <r>
    <n v="17041"/>
    <x v="988"/>
    <n v="6.1196999999999999"/>
    <x v="1039"/>
    <n v="0.05"/>
    <n v="0.05"/>
    <n v="0.75"/>
    <n v="0.75"/>
    <s v="Fechamento"/>
  </r>
  <r>
    <n v="17042"/>
    <x v="989"/>
    <n v="6.0639000000000003"/>
    <x v="1040"/>
    <n v="-0.06"/>
    <n v="-0.06"/>
    <n v="-0.91"/>
    <n v="-0.91"/>
    <s v="Fechamento"/>
  </r>
  <r>
    <n v="17043"/>
    <x v="990"/>
    <n v="6.0749000000000004"/>
    <x v="1041"/>
    <n v="0.01"/>
    <n v="0.01"/>
    <n v="0.18"/>
    <n v="0.19"/>
    <s v="Fechamento"/>
  </r>
  <r>
    <n v="17044"/>
    <x v="991"/>
    <n v="6.1238000000000001"/>
    <x v="1042"/>
    <n v="0.05"/>
    <n v="0.05"/>
    <n v="0.8"/>
    <n v="0.8"/>
    <s v="Fechamento"/>
  </r>
  <r>
    <n v="17045"/>
    <x v="992"/>
    <n v="6.0445000000000002"/>
    <x v="1043"/>
    <n v="-0.08"/>
    <n v="-0.08"/>
    <n v="-1.29"/>
    <n v="-1.29"/>
    <s v="Fechamento"/>
  </r>
  <r>
    <n v="17046"/>
    <x v="993"/>
    <n v="6.0129000000000001"/>
    <x v="1044"/>
    <n v="-0.03"/>
    <n v="-0.03"/>
    <n v="-0.52"/>
    <n v="-0.53"/>
    <s v="Fechamento"/>
  </r>
  <r>
    <n v="17047"/>
    <x v="994"/>
    <n v="5.9680999999999997"/>
    <x v="1045"/>
    <n v="-0.04"/>
    <n v="-0.04"/>
    <n v="-0.75"/>
    <n v="-0.74"/>
    <s v="Fechamento"/>
  </r>
  <r>
    <n v="17048"/>
    <x v="995"/>
    <n v="5.9977999999999998"/>
    <x v="1046"/>
    <n v="0.03"/>
    <n v="0.03"/>
    <n v="0.5"/>
    <n v="0.49"/>
    <s v="Fechamento"/>
  </r>
  <r>
    <n v="17049"/>
    <x v="735"/>
    <n v="6.0128000000000004"/>
    <x v="1047"/>
    <n v="0.02"/>
    <n v="0.02"/>
    <n v="0.25"/>
    <n v="0.26"/>
    <s v="Fechamento"/>
  </r>
  <r>
    <n v="17050"/>
    <x v="604"/>
    <n v="6.0476000000000001"/>
    <x v="1048"/>
    <n v="0.03"/>
    <n v="0.03"/>
    <n v="0.57999999999999996"/>
    <n v="0.56999999999999995"/>
    <s v="Fechamento"/>
  </r>
  <r>
    <n v="17051"/>
    <x v="996"/>
    <n v="5.9961000000000002"/>
    <x v="1049"/>
    <n v="-0.05"/>
    <n v="-0.05"/>
    <n v="-0.85"/>
    <n v="-0.85"/>
    <s v="Fechamento"/>
  </r>
  <r>
    <n v="17052"/>
    <x v="997"/>
    <n v="6.0002000000000004"/>
    <x v="1050"/>
    <n v="0"/>
    <n v="0"/>
    <n v="7.0000000000000007E-2"/>
    <n v="7.0000000000000007E-2"/>
    <s v="Fechamento"/>
  </r>
  <r>
    <n v="17053"/>
    <x v="998"/>
    <n v="6.0553999999999997"/>
    <x v="1051"/>
    <n v="0.06"/>
    <n v="0.06"/>
    <n v="0.92"/>
    <n v="0.92"/>
    <s v="Fechamento"/>
  </r>
  <r>
    <n v="17054"/>
    <x v="999"/>
    <n v="6.0952000000000002"/>
    <x v="1052"/>
    <n v="0.04"/>
    <n v="0.04"/>
    <n v="0.66"/>
    <n v="0.66"/>
    <s v="Fechamento"/>
  </r>
  <r>
    <n v="17055"/>
    <x v="1000"/>
    <n v="6.0757000000000003"/>
    <x v="1053"/>
    <n v="-0.02"/>
    <n v="-0.02"/>
    <n v="-0.32"/>
    <n v="-0.33"/>
    <s v="Fechamento"/>
  </r>
  <r>
    <n v="17056"/>
    <x v="1001"/>
    <n v="6.0903999999999998"/>
    <x v="1054"/>
    <n v="0.01"/>
    <n v="0.02"/>
    <n v="0.24"/>
    <n v="0.25"/>
    <s v="Fechamento"/>
  </r>
  <r>
    <n v="17057"/>
    <x v="1002"/>
    <n v="6.0481999999999996"/>
    <x v="1055"/>
    <n v="-0.04"/>
    <n v="-0.04"/>
    <n v="-0.69"/>
    <n v="-0.68"/>
    <s v="Fechamento"/>
  </r>
  <r>
    <n v="17058"/>
    <x v="1003"/>
    <n v="6.0373999999999999"/>
    <x v="1056"/>
    <n v="-0.01"/>
    <n v="-0.01"/>
    <n v="-0.18"/>
    <n v="-0.18"/>
    <s v="Fechamento"/>
  </r>
  <r>
    <n v="17059"/>
    <x v="1004"/>
    <n v="6.0336999999999996"/>
    <x v="1057"/>
    <n v="0"/>
    <n v="0"/>
    <n v="-0.06"/>
    <n v="-0.06"/>
    <s v="Fechamento"/>
  </r>
  <r>
    <n v="17060"/>
    <x v="1005"/>
    <n v="5.9969999999999999"/>
    <x v="1058"/>
    <n v="-0.04"/>
    <n v="-0.04"/>
    <n v="-0.61"/>
    <n v="-0.61"/>
    <s v="Fechamento"/>
  </r>
  <r>
    <n v="17061"/>
    <x v="1006"/>
    <n v="6.0117000000000003"/>
    <x v="1059"/>
    <n v="0.01"/>
    <n v="0.01"/>
    <n v="0.25"/>
    <n v="0.24"/>
    <s v="Fechamento"/>
  </r>
  <r>
    <n v="17062"/>
    <x v="1007"/>
    <n v="5.9935"/>
    <x v="1060"/>
    <n v="-0.02"/>
    <n v="-0.02"/>
    <n v="-0.3"/>
    <n v="-0.28999999999999998"/>
    <s v="Fechamento"/>
  </r>
  <r>
    <n v="17063"/>
    <x v="1008"/>
    <n v="5.9641000000000002"/>
    <x v="1061"/>
    <n v="-0.03"/>
    <n v="-0.03"/>
    <n v="-0.49"/>
    <n v="-0.49"/>
    <s v="Fechamento"/>
  </r>
  <r>
    <n v="17064"/>
    <x v="1009"/>
    <n v="5.9499000000000004"/>
    <x v="1062"/>
    <n v="-0.01"/>
    <n v="-0.02"/>
    <n v="-0.24"/>
    <n v="-0.26"/>
    <s v="Fechamento"/>
  </r>
  <r>
    <n v="17065"/>
    <x v="1010"/>
    <n v="5.9740000000000002"/>
    <x v="1063"/>
    <n v="0.02"/>
    <n v="0.03"/>
    <n v="0.41"/>
    <n v="0.42"/>
    <s v="Fechamento"/>
  </r>
  <r>
    <n v="17066"/>
    <x v="1011"/>
    <n v="5.9485999999999999"/>
    <x v="1064"/>
    <n v="-0.03"/>
    <n v="-0.03"/>
    <n v="-0.43"/>
    <n v="-0.44"/>
    <s v="Fechamento"/>
  </r>
  <r>
    <n v="17067"/>
    <x v="1012"/>
    <n v="5.9490999999999996"/>
    <x v="1065"/>
    <n v="0"/>
    <n v="0"/>
    <n v="0.01"/>
    <n v="0.02"/>
    <s v="Fechamento"/>
  </r>
  <r>
    <n v="17068"/>
    <x v="1013"/>
    <n v="5.8883000000000001"/>
    <x v="1066"/>
    <n v="-0.06"/>
    <n v="-0.06"/>
    <n v="-1.02"/>
    <n v="-1.03"/>
    <s v="Fechamento"/>
  </r>
  <r>
    <n v="17069"/>
    <x v="1014"/>
    <n v="5.8841000000000001"/>
    <x v="1067"/>
    <n v="0"/>
    <n v="0"/>
    <n v="-7.0000000000000007E-2"/>
    <n v="-7.0000000000000007E-2"/>
    <s v="Fechamento"/>
  </r>
  <r>
    <n v="17070"/>
    <x v="1015"/>
    <n v="5.8726000000000003"/>
    <x v="1068"/>
    <n v="-0.01"/>
    <n v="-0.01"/>
    <n v="-0.2"/>
    <n v="-0.2"/>
    <s v="Fechamento"/>
  </r>
  <r>
    <n v="17071"/>
    <x v="1016"/>
    <n v="5.891"/>
    <x v="1069"/>
    <n v="0.02"/>
    <n v="0.02"/>
    <n v="0.31"/>
    <n v="0.32"/>
    <s v="Fechamento"/>
  </r>
  <r>
    <n v="17072"/>
    <x v="1017"/>
    <n v="5.8922999999999996"/>
    <x v="1070"/>
    <n v="0"/>
    <n v="0"/>
    <n v="0.02"/>
    <n v="0.01"/>
    <s v="Fechamento"/>
  </r>
  <r>
    <n v="17073"/>
    <x v="1018"/>
    <n v="5.8644999999999996"/>
    <x v="1071"/>
    <n v="-0.03"/>
    <n v="-0.03"/>
    <n v="-0.47"/>
    <n v="-0.46"/>
    <s v="Fechamento"/>
  </r>
  <r>
    <n v="17074"/>
    <x v="1019"/>
    <n v="5.8741000000000003"/>
    <x v="1072"/>
    <n v="0.01"/>
    <n v="0.01"/>
    <n v="0.16"/>
    <n v="0.16"/>
    <s v="Fechamento"/>
  </r>
  <r>
    <n v="17075"/>
    <x v="1020"/>
    <n v="5.8163999999999998"/>
    <x v="1073"/>
    <n v="-0.06"/>
    <n v="-0.06"/>
    <n v="-0.98"/>
    <n v="-0.98"/>
    <s v="Fechamento"/>
  </r>
  <r>
    <n v="17076"/>
    <x v="1021"/>
    <n v="5.7984999999999998"/>
    <x v="1074"/>
    <n v="-0.02"/>
    <n v="-0.02"/>
    <n v="-0.31"/>
    <n v="-0.32"/>
    <s v="Fechamento"/>
  </r>
  <r>
    <n v="17077"/>
    <x v="1022"/>
    <n v="5.8692000000000002"/>
    <x v="1075"/>
    <n v="7.0000000000000007E-2"/>
    <n v="7.0000000000000007E-2"/>
    <n v="1.22"/>
    <n v="1.22"/>
    <s v="Fechamento"/>
  </r>
  <r>
    <n v="17078"/>
    <x v="1023"/>
    <n v="5.8303000000000003"/>
    <x v="1076"/>
    <n v="-0.04"/>
    <n v="-0.04"/>
    <n v="-0.66"/>
    <n v="-0.65"/>
    <s v="Fechamento"/>
  </r>
  <r>
    <n v="17079"/>
    <x v="1024"/>
    <n v="5.8432000000000004"/>
    <x v="1077"/>
    <n v="0.01"/>
    <n v="0.01"/>
    <n v="0.22"/>
    <n v="0.22"/>
    <s v="Fechamento"/>
  </r>
  <r>
    <n v="17080"/>
    <x v="1025"/>
    <n v="5.8456999999999999"/>
    <x v="1078"/>
    <n v="0"/>
    <n v="0"/>
    <n v="0.04"/>
    <n v="0.04"/>
    <s v="Fechamento"/>
  </r>
  <r>
    <n v="17081"/>
    <x v="1026"/>
    <n v="5.8510999999999997"/>
    <x v="1079"/>
    <n v="0.01"/>
    <n v="0.01"/>
    <n v="0.09"/>
    <n v="0.09"/>
    <s v="Fechamento"/>
  </r>
  <r>
    <n v="17082"/>
    <x v="1027"/>
    <n v="5.8007"/>
    <x v="1080"/>
    <n v="-0.05"/>
    <n v="-0.05"/>
    <n v="-0.86"/>
    <n v="-0.86"/>
    <s v="Fechamento"/>
  </r>
  <r>
    <n v="17083"/>
    <x v="1028"/>
    <n v="5.7648000000000001"/>
    <x v="1081"/>
    <n v="-0.04"/>
    <n v="-0.04"/>
    <n v="-0.62"/>
    <n v="-0.62"/>
    <s v="Fechamento"/>
  </r>
  <r>
    <n v="17084"/>
    <x v="1029"/>
    <n v="5.7911999999999999"/>
    <x v="1082"/>
    <n v="0.03"/>
    <n v="0.03"/>
    <n v="0.46"/>
    <n v="0.46"/>
    <s v="Fechamento"/>
  </r>
  <r>
    <n v="17085"/>
    <x v="1030"/>
    <n v="5.7843999999999998"/>
    <x v="1083"/>
    <n v="-0.01"/>
    <n v="-0.01"/>
    <n v="-0.12"/>
    <n v="-0.12"/>
    <s v="Fechamento"/>
  </r>
  <r>
    <n v="17086"/>
    <x v="1031"/>
    <n v="5.7690999999999999"/>
    <x v="1084"/>
    <n v="-0.02"/>
    <n v="-0.02"/>
    <n v="-0.26"/>
    <n v="-0.27"/>
    <s v="Fechamento"/>
  </r>
  <r>
    <n v="17087"/>
    <x v="1032"/>
    <n v="5.7694999999999999"/>
    <x v="1085"/>
    <n v="0"/>
    <n v="0"/>
    <n v="0.01"/>
    <n v="0.01"/>
    <s v="Fechamento"/>
  </r>
  <r>
    <n v="17088"/>
    <x v="1033"/>
    <n v="5.7465000000000002"/>
    <x v="1086"/>
    <n v="-0.02"/>
    <n v="-0.02"/>
    <n v="-0.4"/>
    <n v="-0.39"/>
    <s v="Fechamento"/>
  </r>
  <r>
    <n v="17089"/>
    <x v="1034"/>
    <n v="5.7522000000000002"/>
    <x v="1087"/>
    <n v="0.01"/>
    <n v="0.01"/>
    <n v="0.1"/>
    <n v="0.1"/>
    <s v="Fechamento"/>
  </r>
  <r>
    <n v="17090"/>
    <x v="1035"/>
    <n v="5.8167"/>
    <x v="1088"/>
    <n v="0.06"/>
    <n v="0.06"/>
    <n v="1.1200000000000001"/>
    <n v="1.1200000000000001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3600CB-85A0-40A7-92CC-0B373B66B11F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6" firstHeaderRow="1" firstDataRow="1" firstDataCol="1" rowPageCount="1" colPageCount="1"/>
  <pivotFields count="12">
    <pivotField showAll="0"/>
    <pivotField axis="axisPage" dataField="1" showAll="0">
      <items count="1037">
        <item x="208"/>
        <item x="207"/>
        <item x="73"/>
        <item x="74"/>
        <item x="192"/>
        <item x="72"/>
        <item x="163"/>
        <item x="69"/>
        <item x="64"/>
        <item x="164"/>
        <item x="101"/>
        <item x="63"/>
        <item x="181"/>
        <item x="193"/>
        <item x="99"/>
        <item x="102"/>
        <item x="180"/>
        <item x="209"/>
        <item x="160"/>
        <item x="162"/>
        <item x="159"/>
        <item x="70"/>
        <item x="100"/>
        <item x="71"/>
        <item x="161"/>
        <item x="190"/>
        <item x="187"/>
        <item x="75"/>
        <item x="179"/>
        <item x="191"/>
        <item x="68"/>
        <item x="105"/>
        <item x="200"/>
        <item x="96"/>
        <item x="199"/>
        <item x="65"/>
        <item x="188"/>
        <item x="168"/>
        <item x="104"/>
        <item x="158"/>
        <item x="103"/>
        <item x="195"/>
        <item x="189"/>
        <item x="98"/>
        <item x="183"/>
        <item x="95"/>
        <item x="182"/>
        <item x="97"/>
        <item x="198"/>
        <item x="67"/>
        <item x="178"/>
        <item x="66"/>
        <item x="166"/>
        <item x="174"/>
        <item x="169"/>
        <item x="173"/>
        <item x="172"/>
        <item x="194"/>
        <item x="80"/>
        <item x="171"/>
        <item x="153"/>
        <item x="197"/>
        <item x="184"/>
        <item x="196"/>
        <item x="416"/>
        <item x="62"/>
        <item x="415"/>
        <item x="380"/>
        <item x="170"/>
        <item x="417"/>
        <item x="413"/>
        <item x="206"/>
        <item x="414"/>
        <item x="445"/>
        <item x="93"/>
        <item x="167"/>
        <item x="358"/>
        <item x="357"/>
        <item x="201"/>
        <item x="94"/>
        <item x="210"/>
        <item x="165"/>
        <item x="381"/>
        <item x="157"/>
        <item x="175"/>
        <item x="108"/>
        <item x="150"/>
        <item x="353"/>
        <item x="154"/>
        <item x="382"/>
        <item x="354"/>
        <item x="76"/>
        <item x="363"/>
        <item x="356"/>
        <item x="446"/>
        <item x="148"/>
        <item x="92"/>
        <item x="107"/>
        <item x="106"/>
        <item x="152"/>
        <item x="355"/>
        <item x="156"/>
        <item x="349"/>
        <item x="419"/>
        <item x="149"/>
        <item x="177"/>
        <item x="383"/>
        <item x="364"/>
        <item x="440"/>
        <item x="109"/>
        <item x="348"/>
        <item x="379"/>
        <item x="57"/>
        <item x="378"/>
        <item x="443"/>
        <item x="418"/>
        <item x="359"/>
        <item x="447"/>
        <item x="420"/>
        <item x="346"/>
        <item x="421"/>
        <item x="61"/>
        <item x="347"/>
        <item x="84"/>
        <item x="58"/>
        <item x="384"/>
        <item x="377"/>
        <item x="400"/>
        <item x="350"/>
        <item x="79"/>
        <item x="155"/>
        <item x="362"/>
        <item x="444"/>
        <item x="185"/>
        <item x="439"/>
        <item x="351"/>
        <item x="345"/>
        <item x="59"/>
        <item x="352"/>
        <item x="448"/>
        <item x="399"/>
        <item x="463"/>
        <item x="365"/>
        <item x="344"/>
        <item x="412"/>
        <item x="83"/>
        <item x="91"/>
        <item x="82"/>
        <item x="402"/>
        <item x="449"/>
        <item x="422"/>
        <item x="151"/>
        <item x="361"/>
        <item x="202"/>
        <item x="442"/>
        <item x="81"/>
        <item x="56"/>
        <item x="186"/>
        <item x="78"/>
        <item x="401"/>
        <item x="462"/>
        <item x="204"/>
        <item x="142"/>
        <item x="77"/>
        <item x="176"/>
        <item x="464"/>
        <item x="360"/>
        <item x="143"/>
        <item x="424"/>
        <item x="141"/>
        <item x="60"/>
        <item x="410"/>
        <item x="147"/>
        <item x="376"/>
        <item x="112"/>
        <item x="205"/>
        <item x="411"/>
        <item x="406"/>
        <item x="465"/>
        <item x="343"/>
        <item x="403"/>
        <item x="433"/>
        <item x="441"/>
        <item x="90"/>
        <item x="450"/>
        <item x="405"/>
        <item x="398"/>
        <item x="425"/>
        <item x="453"/>
        <item x="336"/>
        <item x="485"/>
        <item x="110"/>
        <item x="435"/>
        <item x="506"/>
        <item x="451"/>
        <item x="408"/>
        <item x="460"/>
        <item x="407"/>
        <item x="473"/>
        <item x="375"/>
        <item x="111"/>
        <item x="501"/>
        <item x="404"/>
        <item x="144"/>
        <item x="466"/>
        <item x="487"/>
        <item x="434"/>
        <item x="499"/>
        <item x="409"/>
        <item x="452"/>
        <item x="330"/>
        <item x="498"/>
        <item x="493"/>
        <item x="454"/>
        <item x="504"/>
        <item x="329"/>
        <item x="423"/>
        <item x="486"/>
        <item x="438"/>
        <item x="484"/>
        <item x="436"/>
        <item x="385"/>
        <item x="426"/>
        <item x="89"/>
        <item x="496"/>
        <item x="482"/>
        <item x="328"/>
        <item x="390"/>
        <item x="369"/>
        <item x="469"/>
        <item x="505"/>
        <item x="366"/>
        <item x="332"/>
        <item x="502"/>
        <item x="335"/>
        <item x="476"/>
        <item x="461"/>
        <item x="437"/>
        <item x="339"/>
        <item x="456"/>
        <item x="470"/>
        <item x="455"/>
        <item x="477"/>
        <item x="488"/>
        <item x="472"/>
        <item x="367"/>
        <item x="146"/>
        <item x="489"/>
        <item x="55"/>
        <item x="471"/>
        <item x="432"/>
        <item x="481"/>
        <item x="500"/>
        <item x="503"/>
        <item x="391"/>
        <item x="337"/>
        <item x="145"/>
        <item x="331"/>
        <item x="203"/>
        <item x="492"/>
        <item x="140"/>
        <item x="483"/>
        <item x="386"/>
        <item x="85"/>
        <item x="474"/>
        <item x="457"/>
        <item x="478"/>
        <item x="334"/>
        <item x="480"/>
        <item x="338"/>
        <item x="510"/>
        <item x="497"/>
        <item x="458"/>
        <item x="374"/>
        <item x="512"/>
        <item x="113"/>
        <item x="513"/>
        <item x="370"/>
        <item x="475"/>
        <item x="509"/>
        <item x="389"/>
        <item x="494"/>
        <item x="514"/>
        <item x="368"/>
        <item x="495"/>
        <item x="459"/>
        <item x="491"/>
        <item x="515"/>
        <item x="490"/>
        <item x="371"/>
        <item x="479"/>
        <item x="388"/>
        <item x="387"/>
        <item x="373"/>
        <item x="467"/>
        <item x="468"/>
        <item x="511"/>
        <item x="129"/>
        <item x="333"/>
        <item x="313"/>
        <item x="529"/>
        <item x="516"/>
        <item x="507"/>
        <item x="88"/>
        <item x="528"/>
        <item x="431"/>
        <item x="211"/>
        <item x="128"/>
        <item x="392"/>
        <item x="527"/>
        <item x="508"/>
        <item x="396"/>
        <item x="526"/>
        <item x="87"/>
        <item x="342"/>
        <item x="395"/>
        <item x="427"/>
        <item x="521"/>
        <item x="86"/>
        <item x="289"/>
        <item x="139"/>
        <item x="54"/>
        <item x="530"/>
        <item x="340"/>
        <item x="327"/>
        <item x="394"/>
        <item x="372"/>
        <item x="397"/>
        <item x="290"/>
        <item x="311"/>
        <item x="115"/>
        <item x="341"/>
        <item x="312"/>
        <item x="326"/>
        <item x="531"/>
        <item x="522"/>
        <item x="310"/>
        <item x="519"/>
        <item x="536"/>
        <item x="518"/>
        <item x="280"/>
        <item x="525"/>
        <item x="114"/>
        <item x="131"/>
        <item x="393"/>
        <item x="537"/>
        <item x="428"/>
        <item x="226"/>
        <item x="117"/>
        <item x="430"/>
        <item x="127"/>
        <item x="225"/>
        <item x="554"/>
        <item x="130"/>
        <item x="116"/>
        <item x="520"/>
        <item x="133"/>
        <item x="224"/>
        <item x="134"/>
        <item x="217"/>
        <item x="517"/>
        <item x="523"/>
        <item x="552"/>
        <item x="533"/>
        <item x="269"/>
        <item x="281"/>
        <item x="241"/>
        <item x="309"/>
        <item x="524"/>
        <item x="553"/>
        <item x="538"/>
        <item x="548"/>
        <item x="132"/>
        <item x="535"/>
        <item x="555"/>
        <item x="121"/>
        <item x="213"/>
        <item x="534"/>
        <item x="324"/>
        <item x="325"/>
        <item x="323"/>
        <item x="212"/>
        <item x="551"/>
        <item x="549"/>
        <item x="229"/>
        <item x="122"/>
        <item x="53"/>
        <item x="218"/>
        <item x="532"/>
        <item x="230"/>
        <item x="288"/>
        <item x="279"/>
        <item x="223"/>
        <item x="120"/>
        <item x="240"/>
        <item x="429"/>
        <item x="43"/>
        <item x="228"/>
        <item x="265"/>
        <item x="282"/>
        <item x="539"/>
        <item x="47"/>
        <item x="308"/>
        <item x="546"/>
        <item x="242"/>
        <item x="286"/>
        <item x="118"/>
        <item x="322"/>
        <item x="135"/>
        <item x="276"/>
        <item x="320"/>
        <item x="545"/>
        <item x="227"/>
        <item x="231"/>
        <item x="283"/>
        <item x="239"/>
        <item x="319"/>
        <item x="126"/>
        <item x="285"/>
        <item x="550"/>
        <item x="314"/>
        <item x="272"/>
        <item x="125"/>
        <item x="138"/>
        <item x="124"/>
        <item x="258"/>
        <item x="264"/>
        <item x="123"/>
        <item x="220"/>
        <item x="45"/>
        <item x="257"/>
        <item x="119"/>
        <item x="214"/>
        <item x="44"/>
        <item x="256"/>
        <item x="291"/>
        <item x="268"/>
        <item x="267"/>
        <item x="307"/>
        <item x="315"/>
        <item x="563"/>
        <item x="266"/>
        <item x="547"/>
        <item x="270"/>
        <item x="544"/>
        <item x="216"/>
        <item x="42"/>
        <item x="557"/>
        <item x="136"/>
        <item x="562"/>
        <item x="321"/>
        <item x="287"/>
        <item x="317"/>
        <item x="271"/>
        <item x="558"/>
        <item x="255"/>
        <item x="556"/>
        <item x="284"/>
        <item x="275"/>
        <item x="306"/>
        <item x="561"/>
        <item x="48"/>
        <item x="263"/>
        <item x="245"/>
        <item x="46"/>
        <item x="246"/>
        <item x="221"/>
        <item x="565"/>
        <item x="52"/>
        <item x="543"/>
        <item x="304"/>
        <item x="137"/>
        <item x="560"/>
        <item x="277"/>
        <item x="238"/>
        <item x="316"/>
        <item x="273"/>
        <item x="564"/>
        <item x="294"/>
        <item x="41"/>
        <item x="559"/>
        <item x="232"/>
        <item x="541"/>
        <item x="305"/>
        <item x="566"/>
        <item x="318"/>
        <item x="540"/>
        <item x="222"/>
        <item x="254"/>
        <item x="278"/>
        <item x="219"/>
        <item x="542"/>
        <item x="244"/>
        <item x="233"/>
        <item x="251"/>
        <item x="568"/>
        <item x="236"/>
        <item x="296"/>
        <item x="274"/>
        <item x="303"/>
        <item x="293"/>
        <item x="567"/>
        <item x="295"/>
        <item x="569"/>
        <item x="253"/>
        <item x="262"/>
        <item x="292"/>
        <item x="237"/>
        <item x="297"/>
        <item x="243"/>
        <item x="259"/>
        <item x="49"/>
        <item x="260"/>
        <item x="50"/>
        <item x="51"/>
        <item x="261"/>
        <item x="302"/>
        <item x="215"/>
        <item x="298"/>
        <item x="235"/>
        <item x="248"/>
        <item x="37"/>
        <item x="299"/>
        <item x="250"/>
        <item x="234"/>
        <item x="38"/>
        <item x="252"/>
        <item x="301"/>
        <item x="247"/>
        <item x="570"/>
        <item x="574"/>
        <item x="40"/>
        <item x="300"/>
        <item x="571"/>
        <item x="573"/>
        <item x="36"/>
        <item x="579"/>
        <item x="572"/>
        <item x="576"/>
        <item x="1033"/>
        <item x="1034"/>
        <item x="1028"/>
        <item x="575"/>
        <item x="1031"/>
        <item x="1032"/>
        <item x="249"/>
        <item x="39"/>
        <item x="35"/>
        <item x="1030"/>
        <item x="1029"/>
        <item x="585"/>
        <item x="1021"/>
        <item x="1027"/>
        <item x="580"/>
        <item x="578"/>
        <item x="581"/>
        <item x="583"/>
        <item x="586"/>
        <item x="1020"/>
        <item x="1035"/>
        <item x="584"/>
        <item x="34"/>
        <item x="1023"/>
        <item x="597"/>
        <item x="577"/>
        <item x="1024"/>
        <item x="1025"/>
        <item x="1026"/>
        <item x="33"/>
        <item x="1018"/>
        <item x="32"/>
        <item x="1022"/>
        <item x="1015"/>
        <item x="582"/>
        <item x="1019"/>
        <item x="598"/>
        <item x="596"/>
        <item x="1014"/>
        <item x="587"/>
        <item x="1013"/>
        <item x="1016"/>
        <item x="30"/>
        <item x="31"/>
        <item x="1017"/>
        <item x="601"/>
        <item x="588"/>
        <item x="29"/>
        <item x="593"/>
        <item x="595"/>
        <item x="21"/>
        <item x="599"/>
        <item x="1011"/>
        <item x="1009"/>
        <item x="1012"/>
        <item x="746"/>
        <item x="594"/>
        <item x="600"/>
        <item x="589"/>
        <item x="738"/>
        <item x="748"/>
        <item x="739"/>
        <item x="745"/>
        <item x="1008"/>
        <item x="994"/>
        <item x="747"/>
        <item x="1010"/>
        <item x="28"/>
        <item x="740"/>
        <item x="602"/>
        <item x="22"/>
        <item x="744"/>
        <item x="741"/>
        <item x="1007"/>
        <item x="654"/>
        <item x="749"/>
        <item x="590"/>
        <item x="996"/>
        <item x="655"/>
        <item x="1005"/>
        <item x="995"/>
        <item x="737"/>
        <item x="18"/>
        <item x="997"/>
        <item x="619"/>
        <item x="622"/>
        <item x="20"/>
        <item x="623"/>
        <item x="621"/>
        <item x="620"/>
        <item x="1006"/>
        <item x="993"/>
        <item x="735"/>
        <item x="26"/>
        <item x="743"/>
        <item x="618"/>
        <item x="19"/>
        <item x="27"/>
        <item x="742"/>
        <item x="592"/>
        <item x="1004"/>
        <item x="652"/>
        <item x="1003"/>
        <item x="644"/>
        <item x="653"/>
        <item x="736"/>
        <item x="992"/>
        <item x="604"/>
        <item x="603"/>
        <item x="1002"/>
        <item x="605"/>
        <item x="686"/>
        <item x="734"/>
        <item x="23"/>
        <item x="656"/>
        <item x="998"/>
        <item x="25"/>
        <item x="606"/>
        <item x="624"/>
        <item x="733"/>
        <item x="985"/>
        <item x="989"/>
        <item x="752"/>
        <item x="750"/>
        <item x="751"/>
        <item x="984"/>
        <item x="651"/>
        <item x="987"/>
        <item x="650"/>
        <item x="1000"/>
        <item x="990"/>
        <item x="688"/>
        <item x="986"/>
        <item x="753"/>
        <item x="983"/>
        <item x="591"/>
        <item x="687"/>
        <item x="649"/>
        <item x="643"/>
        <item x="1001"/>
        <item x="982"/>
        <item x="683"/>
        <item x="999"/>
        <item x="625"/>
        <item x="24"/>
        <item x="658"/>
        <item x="648"/>
        <item x="647"/>
        <item x="657"/>
        <item x="731"/>
        <item x="610"/>
        <item x="611"/>
        <item x="682"/>
        <item x="645"/>
        <item x="684"/>
        <item x="660"/>
        <item x="923"/>
        <item x="685"/>
        <item x="607"/>
        <item x="642"/>
        <item x="988"/>
        <item x="681"/>
        <item x="678"/>
        <item x="991"/>
        <item x="608"/>
        <item x="616"/>
        <item x="17"/>
        <item x="612"/>
        <item x="609"/>
        <item x="617"/>
        <item x="627"/>
        <item x="924"/>
        <item x="628"/>
        <item x="922"/>
        <item x="641"/>
        <item x="978"/>
        <item x="730"/>
        <item x="765"/>
        <item x="661"/>
        <item x="13"/>
        <item x="981"/>
        <item x="977"/>
        <item x="925"/>
        <item x="926"/>
        <item x="663"/>
        <item x="664"/>
        <item x="666"/>
        <item x="629"/>
        <item x="732"/>
        <item x="659"/>
        <item x="767"/>
        <item x="927"/>
        <item x="669"/>
        <item x="929"/>
        <item x="667"/>
        <item x="772"/>
        <item x="689"/>
        <item x="764"/>
        <item x="670"/>
        <item x="917"/>
        <item x="668"/>
        <item x="920"/>
        <item x="671"/>
        <item x="662"/>
        <item x="626"/>
        <item x="972"/>
        <item x="646"/>
        <item x="14"/>
        <item x="680"/>
        <item x="980"/>
        <item x="636"/>
        <item x="665"/>
        <item x="919"/>
        <item x="727"/>
        <item x="615"/>
        <item x="768"/>
        <item x="928"/>
        <item x="939"/>
        <item x="766"/>
        <item x="773"/>
        <item x="974"/>
        <item x="975"/>
        <item x="918"/>
        <item x="900"/>
        <item x="677"/>
        <item x="935"/>
        <item x="968"/>
        <item x="938"/>
        <item x="637"/>
        <item x="979"/>
        <item x="774"/>
        <item x="728"/>
        <item x="679"/>
        <item x="16"/>
        <item x="976"/>
        <item x="969"/>
        <item x="921"/>
        <item x="771"/>
        <item x="973"/>
        <item x="930"/>
        <item x="899"/>
        <item x="971"/>
        <item x="638"/>
        <item x="934"/>
        <item x="937"/>
        <item x="769"/>
        <item x="633"/>
        <item x="15"/>
        <item x="639"/>
        <item x="763"/>
        <item x="916"/>
        <item x="722"/>
        <item x="965"/>
        <item x="936"/>
        <item x="726"/>
        <item x="755"/>
        <item x="635"/>
        <item x="931"/>
        <item x="940"/>
        <item x="970"/>
        <item x="700"/>
        <item x="729"/>
        <item x="721"/>
        <item x="933"/>
        <item x="632"/>
        <item x="932"/>
        <item x="915"/>
        <item x="719"/>
        <item x="898"/>
        <item x="914"/>
        <item x="897"/>
        <item x="964"/>
        <item x="762"/>
        <item x="890"/>
        <item x="889"/>
        <item x="12"/>
        <item x="894"/>
        <item x="961"/>
        <item x="754"/>
        <item x="893"/>
        <item x="770"/>
        <item x="761"/>
        <item x="723"/>
        <item x="892"/>
        <item x="640"/>
        <item x="885"/>
        <item x="634"/>
        <item x="962"/>
        <item x="720"/>
        <item x="960"/>
        <item x="630"/>
        <item x="891"/>
        <item x="718"/>
        <item x="895"/>
        <item x="910"/>
        <item x="957"/>
        <item x="912"/>
        <item x="911"/>
        <item x="908"/>
        <item x="631"/>
        <item x="909"/>
        <item x="913"/>
        <item x="613"/>
        <item x="967"/>
        <item x="888"/>
        <item x="886"/>
        <item x="11"/>
        <item x="882"/>
        <item x="959"/>
        <item x="907"/>
        <item x="756"/>
        <item x="717"/>
        <item x="673"/>
        <item x="966"/>
        <item x="10"/>
        <item x="757"/>
        <item x="884"/>
        <item x="672"/>
        <item x="958"/>
        <item x="956"/>
        <item x="896"/>
        <item x="725"/>
        <item x="800"/>
        <item x="799"/>
        <item x="881"/>
        <item x="883"/>
        <item x="954"/>
        <item x="724"/>
        <item x="887"/>
        <item x="864"/>
        <item x="955"/>
        <item x="674"/>
        <item x="715"/>
        <item x="801"/>
        <item x="941"/>
        <item x="676"/>
        <item x="963"/>
        <item x="862"/>
        <item x="798"/>
        <item x="675"/>
        <item x="760"/>
        <item x="865"/>
        <item x="614"/>
        <item x="863"/>
        <item x="716"/>
        <item x="824"/>
        <item x="866"/>
        <item x="690"/>
        <item x="880"/>
        <item x="705"/>
        <item x="872"/>
        <item x="825"/>
        <item x="871"/>
        <item x="861"/>
        <item x="901"/>
        <item x="902"/>
        <item x="860"/>
        <item x="699"/>
        <item x="695"/>
        <item x="9"/>
        <item x="826"/>
        <item x="8"/>
        <item x="713"/>
        <item x="701"/>
        <item x="904"/>
        <item x="905"/>
        <item x="945"/>
        <item x="879"/>
        <item x="802"/>
        <item x="946"/>
        <item x="942"/>
        <item x="873"/>
        <item x="819"/>
        <item x="692"/>
        <item x="906"/>
        <item x="7"/>
        <item x="714"/>
        <item x="0"/>
        <item x="698"/>
        <item x="803"/>
        <item x="876"/>
        <item x="859"/>
        <item x="875"/>
        <item x="953"/>
        <item x="806"/>
        <item x="869"/>
        <item x="878"/>
        <item x="943"/>
        <item x="775"/>
        <item x="820"/>
        <item x="759"/>
        <item x="797"/>
        <item x="696"/>
        <item x="870"/>
        <item x="827"/>
        <item x="818"/>
        <item x="835"/>
        <item x="804"/>
        <item x="874"/>
        <item x="834"/>
        <item x="868"/>
        <item x="856"/>
        <item x="758"/>
        <item x="817"/>
        <item x="944"/>
        <item x="828"/>
        <item x="877"/>
        <item x="694"/>
        <item x="712"/>
        <item x="867"/>
        <item x="858"/>
        <item x="857"/>
        <item x="903"/>
        <item x="823"/>
        <item x="693"/>
        <item x="837"/>
        <item x="952"/>
        <item x="792"/>
        <item x="6"/>
        <item x="691"/>
        <item x="838"/>
        <item x="793"/>
        <item x="796"/>
        <item x="836"/>
        <item x="707"/>
        <item x="816"/>
        <item x="706"/>
        <item x="854"/>
        <item x="809"/>
        <item x="855"/>
        <item x="821"/>
        <item x="947"/>
        <item x="697"/>
        <item x="805"/>
        <item x="708"/>
        <item x="704"/>
        <item x="832"/>
        <item x="2"/>
        <item x="830"/>
        <item x="5"/>
        <item x="1"/>
        <item x="831"/>
        <item x="791"/>
        <item x="776"/>
        <item x="810"/>
        <item x="853"/>
        <item x="833"/>
        <item x="710"/>
        <item x="811"/>
        <item x="822"/>
        <item x="852"/>
        <item x="815"/>
        <item x="790"/>
        <item x="711"/>
        <item x="4"/>
        <item x="829"/>
        <item x="3"/>
        <item x="808"/>
        <item x="787"/>
        <item x="814"/>
        <item x="789"/>
        <item x="703"/>
        <item x="786"/>
        <item x="842"/>
        <item x="845"/>
        <item x="950"/>
        <item x="807"/>
        <item x="709"/>
        <item x="844"/>
        <item x="788"/>
        <item x="948"/>
        <item x="702"/>
        <item x="812"/>
        <item x="777"/>
        <item x="843"/>
        <item x="839"/>
        <item x="949"/>
        <item x="851"/>
        <item x="841"/>
        <item x="794"/>
        <item x="849"/>
        <item x="850"/>
        <item x="813"/>
        <item x="795"/>
        <item x="846"/>
        <item x="951"/>
        <item x="840"/>
        <item x="848"/>
        <item x="847"/>
        <item x="785"/>
        <item x="779"/>
        <item x="782"/>
        <item x="781"/>
        <item x="780"/>
        <item x="784"/>
        <item x="778"/>
        <item x="783"/>
        <item t="default"/>
      </items>
    </pivotField>
    <pivotField showAll="0"/>
    <pivotField axis="axisRow" numFmtId="22" showAll="0">
      <items count="10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2">
    <field x="9"/>
    <field x="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1" hier="-1"/>
  </pageFields>
  <dataFields count="1">
    <dataField name="Sum of cotacao_compra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6'&amp;@dataFinalCotacao='05-15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6'&amp;@dataFinalCotacao='05-15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C32"/>
  <sheetViews>
    <sheetView tabSelected="1" zoomScaleNormal="100" workbookViewId="0">
      <selection activeCell="O20" sqref="O20"/>
    </sheetView>
  </sheetViews>
  <sheetFormatPr defaultRowHeight="15" x14ac:dyDescent="0.25"/>
  <cols>
    <col min="2" max="2" width="16.7109375" customWidth="1"/>
    <col min="3" max="3" width="15.42578125" customWidth="1"/>
  </cols>
  <sheetData>
    <row r="1" s="14" customFormat="1" x14ac:dyDescent="0.25"/>
    <row r="2" s="14" customFormat="1" x14ac:dyDescent="0.25"/>
    <row r="3" s="14" customFormat="1" x14ac:dyDescent="0.25"/>
    <row r="4" s="14" customFormat="1" x14ac:dyDescent="0.25"/>
    <row r="5" s="13" customFormat="1" x14ac:dyDescent="0.25"/>
    <row r="6" s="12" customFormat="1" x14ac:dyDescent="0.25"/>
    <row r="7" s="12" customFormat="1" x14ac:dyDescent="0.25"/>
    <row r="8" s="12" customFormat="1" ht="12.75" customHeight="1" x14ac:dyDescent="0.25"/>
    <row r="9" s="12" customFormat="1" ht="16.5" customHeight="1" x14ac:dyDescent="0.25"/>
    <row r="22" spans="2:3" x14ac:dyDescent="0.25">
      <c r="B22" s="10" t="s">
        <v>12</v>
      </c>
      <c r="C22" s="11"/>
    </row>
    <row r="23" spans="2:3" x14ac:dyDescent="0.25">
      <c r="B23" s="6" t="s">
        <v>13</v>
      </c>
      <c r="C23" s="6" t="s">
        <v>10</v>
      </c>
    </row>
    <row r="24" spans="2:3" ht="15.75" thickBot="1" x14ac:dyDescent="0.3">
      <c r="B24" s="4">
        <f ca="1">DATE(YEAR(C24),1,1)</f>
        <v>46023</v>
      </c>
      <c r="C24" s="4">
        <f ca="1">TODAY()</f>
        <v>46157</v>
      </c>
    </row>
    <row r="25" spans="2:3" ht="16.5" thickTop="1" thickBot="1" x14ac:dyDescent="0.3">
      <c r="B25" s="3" t="s">
        <v>9</v>
      </c>
      <c r="C25" s="5" t="s">
        <v>14</v>
      </c>
    </row>
    <row r="26" spans="2:3" ht="15.75" thickTop="1" x14ac:dyDescent="0.25">
      <c r="C26" s="2"/>
    </row>
    <row r="28" spans="2:3" x14ac:dyDescent="0.25">
      <c r="B28" s="8" t="s">
        <v>11</v>
      </c>
      <c r="C28" s="9"/>
    </row>
    <row r="29" spans="2:3" x14ac:dyDescent="0.25">
      <c r="B29" s="6" t="s">
        <v>13</v>
      </c>
      <c r="C29" s="6" t="s">
        <v>10</v>
      </c>
    </row>
    <row r="30" spans="2:3" ht="15.75" thickBot="1" x14ac:dyDescent="0.3">
      <c r="B30" s="4">
        <f ca="1">DATE(YEAR(C30),1,1)</f>
        <v>46023</v>
      </c>
      <c r="C30" s="4">
        <f ca="1">TODAY()</f>
        <v>46157</v>
      </c>
    </row>
    <row r="31" spans="2:3" ht="16.5" thickTop="1" thickBot="1" x14ac:dyDescent="0.3">
      <c r="B31" s="3" t="s">
        <v>9</v>
      </c>
      <c r="C31" s="5" t="s">
        <v>16</v>
      </c>
    </row>
    <row r="32" spans="2:3" ht="15.75" thickTop="1" x14ac:dyDescent="0.25">
      <c r="C32" s="2"/>
    </row>
  </sheetData>
  <mergeCells count="2">
    <mergeCell ref="B28:C28"/>
    <mergeCell ref="B22:C22"/>
  </mergeCells>
  <hyperlinks>
    <hyperlink ref="C31" r:id="rId1" display="https://olinda.bcb.gov.br/olinda/servico/PTAX/versao/v1/odata/CotacaoMoedaPeriodo(moeda=@moeda,dataInicial=@dataInicial,dataFinalCotacao=@dataFinalCotacao)?@moeda='USD'&amp;@dataInicial='01-01-2026'&amp;@dataFinalCotacao='05-15-2026'&amp;$top=1000&amp;$filter=tipoBoletim eq 'Fechamento'&amp;$orderby=dataHoraCotacao&amp;$format=json&amp;$select=cotacaoCompra,cotacaoVenda,dataHoraCotacao,tipoBoletim" xr:uid="{ADA97EB5-EC81-479C-BD26-C754E381E0FA}"/>
    <hyperlink ref="C25" r:id="rId2" display="https://olinda.bcb.gov.br/olinda/servico/PTAX/versao/v1/odata/CotacaoMoedaPeriodo(moeda=@moeda,dataInicial=@dataInicial,dataFinalCotacao=@dataFinalCotacao)?@moeda='EUR'&amp;@dataInicial='01-01-2026'&amp;@dataFinalCotacao='05-15-2026'&amp;$top=1000&amp;$filter=tipoBoletim eq 'Fechamento'&amp;$orderby=dataHoraCotacao&amp;$format=json&amp;$select=cotacaoCompra,cotacaoVenda,dataHoraCotacao,tipoBoletim" xr:uid="{67E73E7B-826D-4E82-A764-09BF528EB5C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9</xdr:col>
                    <xdr:colOff>400050</xdr:colOff>
                    <xdr:row>19</xdr:row>
                    <xdr:rowOff>161925</xdr:rowOff>
                  </from>
                  <to>
                    <xdr:col>12</xdr:col>
                    <xdr:colOff>323850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ave_Spreadsheet">
                <anchor moveWithCells="1" sizeWithCells="1">
                  <from>
                    <xdr:col>6</xdr:col>
                    <xdr:colOff>38100</xdr:colOff>
                    <xdr:row>19</xdr:row>
                    <xdr:rowOff>152400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I1092"/>
  <sheetViews>
    <sheetView workbookViewId="0">
      <selection activeCell="D1" sqref="D1"/>
    </sheetView>
  </sheetViews>
  <sheetFormatPr defaultRowHeight="15" x14ac:dyDescent="0.25"/>
  <cols>
    <col min="1" max="9" width="20.28515625" customWidth="1"/>
    <col min="10" max="10" width="20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>
        <v>17727</v>
      </c>
      <c r="B2">
        <v>6.3879999999999999</v>
      </c>
      <c r="C2">
        <v>6.3898000000000001</v>
      </c>
      <c r="D2" s="7">
        <v>46024.544131944444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>
        <v>17728</v>
      </c>
      <c r="B3">
        <v>6.3605</v>
      </c>
      <c r="C3">
        <v>6.3617999999999997</v>
      </c>
      <c r="D3" s="7">
        <v>46027.548784722225</v>
      </c>
      <c r="E3">
        <v>-0.03</v>
      </c>
      <c r="F3">
        <v>-0.03</v>
      </c>
      <c r="G3">
        <v>-0.44</v>
      </c>
      <c r="H3">
        <v>-0.43</v>
      </c>
      <c r="I3" t="s">
        <v>15</v>
      </c>
    </row>
    <row r="4" spans="1:9" x14ac:dyDescent="0.25">
      <c r="A4">
        <v>17729</v>
      </c>
      <c r="B4">
        <v>6.2908999999999997</v>
      </c>
      <c r="C4">
        <v>6.2920999999999996</v>
      </c>
      <c r="D4" s="7">
        <v>46028.550081018519</v>
      </c>
      <c r="E4">
        <v>-7.0000000000000007E-2</v>
      </c>
      <c r="F4">
        <v>-7.0000000000000007E-2</v>
      </c>
      <c r="G4">
        <v>-1.1000000000000001</v>
      </c>
      <c r="H4">
        <v>-1.0900000000000001</v>
      </c>
      <c r="I4" t="s">
        <v>15</v>
      </c>
    </row>
    <row r="5" spans="1:9" x14ac:dyDescent="0.25">
      <c r="A5">
        <v>17730</v>
      </c>
      <c r="B5">
        <v>6.2972999999999999</v>
      </c>
      <c r="C5">
        <v>6.2991000000000001</v>
      </c>
      <c r="D5" s="7">
        <v>46029.54614583333</v>
      </c>
      <c r="E5">
        <v>0.01</v>
      </c>
      <c r="F5">
        <v>0.01</v>
      </c>
      <c r="G5">
        <v>0.11</v>
      </c>
      <c r="H5">
        <v>0.1</v>
      </c>
      <c r="I5" t="s">
        <v>15</v>
      </c>
    </row>
    <row r="6" spans="1:9" x14ac:dyDescent="0.25">
      <c r="A6">
        <v>17731</v>
      </c>
      <c r="B6">
        <v>6.2820999999999998</v>
      </c>
      <c r="C6">
        <v>6.2838000000000003</v>
      </c>
      <c r="D6" s="7">
        <v>46030.54478009259</v>
      </c>
      <c r="E6">
        <v>-0.02</v>
      </c>
      <c r="F6">
        <v>-0.02</v>
      </c>
      <c r="G6">
        <v>-0.24</v>
      </c>
      <c r="H6">
        <v>-0.24</v>
      </c>
      <c r="I6" t="s">
        <v>15</v>
      </c>
    </row>
    <row r="7" spans="1:9" x14ac:dyDescent="0.25">
      <c r="A7">
        <v>17732</v>
      </c>
      <c r="B7">
        <v>6.2507999999999999</v>
      </c>
      <c r="C7">
        <v>6.2526000000000002</v>
      </c>
      <c r="D7" s="7">
        <v>46031.548252314817</v>
      </c>
      <c r="E7">
        <v>-0.03</v>
      </c>
      <c r="F7">
        <v>-0.03</v>
      </c>
      <c r="G7">
        <v>-0.5</v>
      </c>
      <c r="H7">
        <v>-0.5</v>
      </c>
      <c r="I7" t="s">
        <v>15</v>
      </c>
    </row>
    <row r="8" spans="1:9" x14ac:dyDescent="0.25">
      <c r="A8">
        <v>17733</v>
      </c>
      <c r="B8">
        <v>6.2789999999999999</v>
      </c>
      <c r="C8">
        <v>6.2801999999999998</v>
      </c>
      <c r="D8" s="7">
        <v>46034.54755787037</v>
      </c>
      <c r="E8">
        <v>0.03</v>
      </c>
      <c r="F8">
        <v>0.03</v>
      </c>
      <c r="G8">
        <v>0.44</v>
      </c>
      <c r="H8">
        <v>0.45</v>
      </c>
      <c r="I8" t="s">
        <v>15</v>
      </c>
    </row>
    <row r="9" spans="1:9" x14ac:dyDescent="0.25">
      <c r="A9">
        <v>17734</v>
      </c>
      <c r="B9">
        <v>6.2633000000000001</v>
      </c>
      <c r="C9">
        <v>6.2651000000000003</v>
      </c>
      <c r="D9" s="7">
        <v>46035.547847222224</v>
      </c>
      <c r="E9">
        <v>-0.02</v>
      </c>
      <c r="F9">
        <v>-0.02</v>
      </c>
      <c r="G9">
        <v>-0.24</v>
      </c>
      <c r="H9">
        <v>-0.25</v>
      </c>
      <c r="I9" t="s">
        <v>15</v>
      </c>
    </row>
    <row r="10" spans="1:9" x14ac:dyDescent="0.25">
      <c r="A10">
        <v>17735</v>
      </c>
      <c r="B10">
        <v>6.2713000000000001</v>
      </c>
      <c r="C10">
        <v>6.2729999999999997</v>
      </c>
      <c r="D10" s="7">
        <v>46036.544814814813</v>
      </c>
      <c r="E10">
        <v>0.01</v>
      </c>
      <c r="F10">
        <v>0.01</v>
      </c>
      <c r="G10">
        <v>0.13</v>
      </c>
      <c r="H10">
        <v>0.13</v>
      </c>
      <c r="I10" t="s">
        <v>15</v>
      </c>
    </row>
    <row r="11" spans="1:9" x14ac:dyDescent="0.25">
      <c r="A11">
        <v>17736</v>
      </c>
      <c r="B11">
        <v>6.2465000000000002</v>
      </c>
      <c r="C11">
        <v>6.2477999999999998</v>
      </c>
      <c r="D11" s="7">
        <v>46037.545439814814</v>
      </c>
      <c r="E11">
        <v>-0.03</v>
      </c>
      <c r="F11">
        <v>-0.02</v>
      </c>
      <c r="G11">
        <v>-0.4</v>
      </c>
      <c r="H11">
        <v>-0.4</v>
      </c>
      <c r="I11" t="s">
        <v>15</v>
      </c>
    </row>
    <row r="12" spans="1:9" x14ac:dyDescent="0.25">
      <c r="A12">
        <v>17737</v>
      </c>
      <c r="B12">
        <v>6.2366000000000001</v>
      </c>
      <c r="C12">
        <v>6.2384000000000004</v>
      </c>
      <c r="D12" s="7">
        <v>46038.544745370367</v>
      </c>
      <c r="E12">
        <v>-0.01</v>
      </c>
      <c r="F12">
        <v>-0.01</v>
      </c>
      <c r="G12">
        <v>-0.15</v>
      </c>
      <c r="H12">
        <v>-0.16</v>
      </c>
      <c r="I12" t="s">
        <v>15</v>
      </c>
    </row>
    <row r="13" spans="1:9" x14ac:dyDescent="0.25">
      <c r="A13">
        <v>17738</v>
      </c>
      <c r="B13">
        <v>6.2439999999999998</v>
      </c>
      <c r="C13">
        <v>6.2457000000000003</v>
      </c>
      <c r="D13" s="7">
        <v>46041.546851851854</v>
      </c>
      <c r="E13">
        <v>0.01</v>
      </c>
      <c r="F13">
        <v>0.01</v>
      </c>
      <c r="G13">
        <v>0.12</v>
      </c>
      <c r="H13">
        <v>0.12</v>
      </c>
      <c r="I13" t="s">
        <v>15</v>
      </c>
    </row>
    <row r="14" spans="1:9" x14ac:dyDescent="0.25">
      <c r="A14">
        <v>17739</v>
      </c>
      <c r="B14">
        <v>6.3071999999999999</v>
      </c>
      <c r="C14">
        <v>6.3085000000000004</v>
      </c>
      <c r="D14" s="7">
        <v>46042.543414351851</v>
      </c>
      <c r="E14">
        <v>0.06</v>
      </c>
      <c r="F14">
        <v>0.06</v>
      </c>
      <c r="G14">
        <v>1.01</v>
      </c>
      <c r="H14">
        <v>1.01</v>
      </c>
      <c r="I14" t="s">
        <v>15</v>
      </c>
    </row>
    <row r="15" spans="1:9" x14ac:dyDescent="0.25">
      <c r="A15">
        <v>17740</v>
      </c>
      <c r="B15">
        <v>6.2439</v>
      </c>
      <c r="C15">
        <v>6.2450999999999999</v>
      </c>
      <c r="D15" s="7">
        <v>46043.54482638889</v>
      </c>
      <c r="E15">
        <v>-0.06</v>
      </c>
      <c r="F15">
        <v>-0.06</v>
      </c>
      <c r="G15">
        <v>-1</v>
      </c>
      <c r="H15">
        <v>-1</v>
      </c>
      <c r="I15" t="s">
        <v>15</v>
      </c>
    </row>
    <row r="16" spans="1:9" x14ac:dyDescent="0.25">
      <c r="A16">
        <v>17741</v>
      </c>
      <c r="B16">
        <v>6.2321999999999997</v>
      </c>
      <c r="C16">
        <v>6.2333999999999996</v>
      </c>
      <c r="D16" s="7">
        <v>46044.5468287037</v>
      </c>
      <c r="E16">
        <v>-0.01</v>
      </c>
      <c r="F16">
        <v>-0.01</v>
      </c>
      <c r="G16">
        <v>-0.19</v>
      </c>
      <c r="H16">
        <v>-0.19</v>
      </c>
      <c r="I16" t="s">
        <v>15</v>
      </c>
    </row>
    <row r="17" spans="1:9" x14ac:dyDescent="0.25">
      <c r="A17">
        <v>17742</v>
      </c>
      <c r="B17">
        <v>6.2161999999999997</v>
      </c>
      <c r="C17">
        <v>6.218</v>
      </c>
      <c r="D17" s="7">
        <v>46045.548217592594</v>
      </c>
      <c r="E17">
        <v>-0.02</v>
      </c>
      <c r="F17">
        <v>-0.02</v>
      </c>
      <c r="G17">
        <v>-0.25</v>
      </c>
      <c r="H17">
        <v>-0.26</v>
      </c>
      <c r="I17" t="s">
        <v>15</v>
      </c>
    </row>
    <row r="18" spans="1:9" x14ac:dyDescent="0.25">
      <c r="A18">
        <v>17743</v>
      </c>
      <c r="B18">
        <v>6.2746000000000004</v>
      </c>
      <c r="C18">
        <v>6.2763</v>
      </c>
      <c r="D18" s="7">
        <v>46048.547951388886</v>
      </c>
      <c r="E18">
        <v>0.06</v>
      </c>
      <c r="F18">
        <v>0.06</v>
      </c>
      <c r="G18">
        <v>0.94</v>
      </c>
      <c r="H18">
        <v>0.94</v>
      </c>
      <c r="I18" t="s">
        <v>15</v>
      </c>
    </row>
    <row r="19" spans="1:9" x14ac:dyDescent="0.25">
      <c r="A19">
        <v>17744</v>
      </c>
      <c r="B19">
        <v>6.2601000000000004</v>
      </c>
      <c r="C19">
        <v>6.2618999999999998</v>
      </c>
      <c r="D19" s="7">
        <v>46049.547523148147</v>
      </c>
      <c r="E19">
        <v>-0.01</v>
      </c>
      <c r="F19">
        <v>-0.01</v>
      </c>
      <c r="G19">
        <v>-0.23</v>
      </c>
      <c r="H19">
        <v>-0.23</v>
      </c>
      <c r="I19" t="s">
        <v>15</v>
      </c>
    </row>
    <row r="20" spans="1:9" x14ac:dyDescent="0.25">
      <c r="A20">
        <v>17745</v>
      </c>
      <c r="B20">
        <v>6.1908000000000003</v>
      </c>
      <c r="C20">
        <v>6.1925999999999997</v>
      </c>
      <c r="D20" s="7">
        <v>46050.54892361111</v>
      </c>
      <c r="E20">
        <v>-7.0000000000000007E-2</v>
      </c>
      <c r="F20">
        <v>-7.0000000000000007E-2</v>
      </c>
      <c r="G20">
        <v>-1.1100000000000001</v>
      </c>
      <c r="H20">
        <v>-1.1100000000000001</v>
      </c>
      <c r="I20" t="s">
        <v>15</v>
      </c>
    </row>
    <row r="21" spans="1:9" x14ac:dyDescent="0.25">
      <c r="A21">
        <v>17746</v>
      </c>
      <c r="B21">
        <v>6.1966000000000001</v>
      </c>
      <c r="C21">
        <v>6.1984000000000004</v>
      </c>
      <c r="D21" s="7">
        <v>46051.547488425924</v>
      </c>
      <c r="E21">
        <v>0.01</v>
      </c>
      <c r="F21">
        <v>0.01</v>
      </c>
      <c r="G21">
        <v>0.09</v>
      </c>
      <c r="H21">
        <v>0.09</v>
      </c>
      <c r="I21" t="s">
        <v>15</v>
      </c>
    </row>
    <row r="22" spans="1:9" x14ac:dyDescent="0.25">
      <c r="A22">
        <v>17747</v>
      </c>
      <c r="B22">
        <v>6.22</v>
      </c>
      <c r="C22">
        <v>6.2217000000000002</v>
      </c>
      <c r="D22" s="7">
        <v>46052.545474537037</v>
      </c>
      <c r="E22">
        <v>0.02</v>
      </c>
      <c r="F22">
        <v>0.02</v>
      </c>
      <c r="G22">
        <v>0.38</v>
      </c>
      <c r="H22">
        <v>0.38</v>
      </c>
      <c r="I22" t="s">
        <v>15</v>
      </c>
    </row>
    <row r="23" spans="1:9" x14ac:dyDescent="0.25">
      <c r="A23">
        <v>17748</v>
      </c>
      <c r="B23">
        <v>6.2004000000000001</v>
      </c>
      <c r="C23">
        <v>6.2016</v>
      </c>
      <c r="D23" s="7">
        <v>46055.546851851854</v>
      </c>
      <c r="E23">
        <v>-0.02</v>
      </c>
      <c r="F23">
        <v>-0.02</v>
      </c>
      <c r="G23">
        <v>-0.32</v>
      </c>
      <c r="H23">
        <v>-0.32</v>
      </c>
      <c r="I23" t="s">
        <v>15</v>
      </c>
    </row>
    <row r="24" spans="1:9" x14ac:dyDescent="0.25">
      <c r="A24">
        <v>17749</v>
      </c>
      <c r="B24">
        <v>6.1694000000000004</v>
      </c>
      <c r="C24">
        <v>6.1711999999999998</v>
      </c>
      <c r="D24" s="7">
        <v>46056.549618055556</v>
      </c>
      <c r="E24">
        <v>-0.03</v>
      </c>
      <c r="F24">
        <v>-0.03</v>
      </c>
      <c r="G24">
        <v>-0.49</v>
      </c>
      <c r="H24">
        <v>-0.5</v>
      </c>
      <c r="I24" t="s">
        <v>15</v>
      </c>
    </row>
    <row r="25" spans="1:9" x14ac:dyDescent="0.25">
      <c r="A25">
        <v>17750</v>
      </c>
      <c r="B25">
        <v>6.1749999999999998</v>
      </c>
      <c r="C25">
        <v>6.1768000000000001</v>
      </c>
      <c r="D25" s="7">
        <v>46057.548946759256</v>
      </c>
      <c r="E25">
        <v>0.01</v>
      </c>
      <c r="F25">
        <v>0.01</v>
      </c>
      <c r="G25">
        <v>0.09</v>
      </c>
      <c r="H25">
        <v>0.09</v>
      </c>
      <c r="I25" t="s">
        <v>15</v>
      </c>
    </row>
    <row r="26" spans="1:9" x14ac:dyDescent="0.25">
      <c r="A26">
        <v>17751</v>
      </c>
      <c r="B26">
        <v>6.1985000000000001</v>
      </c>
      <c r="C26">
        <v>6.2001999999999997</v>
      </c>
      <c r="D26" s="7">
        <v>46058.545474537037</v>
      </c>
      <c r="E26">
        <v>0.02</v>
      </c>
      <c r="F26">
        <v>0.02</v>
      </c>
      <c r="G26">
        <v>0.38</v>
      </c>
      <c r="H26">
        <v>0.38</v>
      </c>
      <c r="I26" t="s">
        <v>15</v>
      </c>
    </row>
    <row r="27" spans="1:9" x14ac:dyDescent="0.25">
      <c r="A27">
        <v>17752</v>
      </c>
      <c r="B27">
        <v>6.1855000000000002</v>
      </c>
      <c r="C27">
        <v>6.1867000000000001</v>
      </c>
      <c r="D27" s="7">
        <v>46059.54892361111</v>
      </c>
      <c r="E27">
        <v>-0.01</v>
      </c>
      <c r="F27">
        <v>-0.01</v>
      </c>
      <c r="G27">
        <v>-0.22</v>
      </c>
      <c r="H27">
        <v>-0.21</v>
      </c>
      <c r="I27" t="s">
        <v>15</v>
      </c>
    </row>
    <row r="28" spans="1:9" x14ac:dyDescent="0.25">
      <c r="A28">
        <v>17753</v>
      </c>
      <c r="B28">
        <v>6.1867000000000001</v>
      </c>
      <c r="C28">
        <v>6.1879999999999997</v>
      </c>
      <c r="D28" s="7">
        <v>46062.548229166663</v>
      </c>
      <c r="E28">
        <v>0</v>
      </c>
      <c r="F28">
        <v>0</v>
      </c>
      <c r="G28">
        <v>0.02</v>
      </c>
      <c r="H28">
        <v>0.02</v>
      </c>
      <c r="I28" t="s">
        <v>15</v>
      </c>
    </row>
    <row r="29" spans="1:9" x14ac:dyDescent="0.25">
      <c r="A29">
        <v>17754</v>
      </c>
      <c r="B29">
        <v>6.1965000000000003</v>
      </c>
      <c r="C29">
        <v>6.1982999999999997</v>
      </c>
      <c r="D29" s="7">
        <v>46063.54892361111</v>
      </c>
      <c r="E29">
        <v>0.01</v>
      </c>
      <c r="F29">
        <v>0.01</v>
      </c>
      <c r="G29">
        <v>0.17</v>
      </c>
      <c r="H29">
        <v>0.16</v>
      </c>
      <c r="I29" t="s">
        <v>15</v>
      </c>
    </row>
    <row r="30" spans="1:9" x14ac:dyDescent="0.25">
      <c r="A30">
        <v>17755</v>
      </c>
      <c r="B30">
        <v>6.1459999999999999</v>
      </c>
      <c r="C30">
        <v>6.1477000000000004</v>
      </c>
      <c r="D30" s="7">
        <v>46064.544074074074</v>
      </c>
      <c r="E30">
        <v>-0.05</v>
      </c>
      <c r="F30">
        <v>-0.05</v>
      </c>
      <c r="G30">
        <v>-0.82</v>
      </c>
      <c r="H30">
        <v>-0.81</v>
      </c>
      <c r="I30" t="s">
        <v>15</v>
      </c>
    </row>
    <row r="31" spans="1:9" x14ac:dyDescent="0.25">
      <c r="A31">
        <v>17756</v>
      </c>
      <c r="B31">
        <v>6.1406999999999998</v>
      </c>
      <c r="C31">
        <v>6.1425000000000001</v>
      </c>
      <c r="D31" s="7">
        <v>46065.54488425926</v>
      </c>
      <c r="E31">
        <v>-0.01</v>
      </c>
      <c r="F31">
        <v>-0.01</v>
      </c>
      <c r="G31">
        <v>-0.08</v>
      </c>
      <c r="H31">
        <v>-0.09</v>
      </c>
      <c r="I31" t="s">
        <v>15</v>
      </c>
    </row>
    <row r="32" spans="1:9" x14ac:dyDescent="0.25">
      <c r="A32">
        <v>17757</v>
      </c>
      <c r="B32">
        <v>6.1943999999999999</v>
      </c>
      <c r="C32">
        <v>6.1955999999999998</v>
      </c>
      <c r="D32" s="7">
        <v>46066.544768518521</v>
      </c>
      <c r="E32">
        <v>0.05</v>
      </c>
      <c r="F32">
        <v>0.05</v>
      </c>
      <c r="G32">
        <v>0.86</v>
      </c>
      <c r="H32">
        <v>0.87</v>
      </c>
      <c r="I32" t="s">
        <v>15</v>
      </c>
    </row>
    <row r="33" spans="1:9" x14ac:dyDescent="0.25">
      <c r="A33">
        <v>17758</v>
      </c>
      <c r="B33">
        <v>6.1733000000000002</v>
      </c>
      <c r="C33">
        <v>6.1745999999999999</v>
      </c>
      <c r="D33" s="7">
        <v>46071.653113425928</v>
      </c>
      <c r="E33">
        <v>-0.02</v>
      </c>
      <c r="F33">
        <v>-0.02</v>
      </c>
      <c r="G33">
        <v>-0.34</v>
      </c>
      <c r="H33">
        <v>-0.34</v>
      </c>
      <c r="I33" t="s">
        <v>15</v>
      </c>
    </row>
    <row r="34" spans="1:9" x14ac:dyDescent="0.25">
      <c r="A34">
        <v>17759</v>
      </c>
      <c r="B34">
        <v>6.1456</v>
      </c>
      <c r="C34">
        <v>6.1475</v>
      </c>
      <c r="D34" s="7">
        <v>46072.549618055556</v>
      </c>
      <c r="E34">
        <v>-0.03</v>
      </c>
      <c r="F34">
        <v>-0.03</v>
      </c>
      <c r="G34">
        <v>-0.44</v>
      </c>
      <c r="H34">
        <v>-0.45</v>
      </c>
      <c r="I34" t="s">
        <v>15</v>
      </c>
    </row>
    <row r="35" spans="1:9" x14ac:dyDescent="0.25">
      <c r="A35">
        <v>17760</v>
      </c>
      <c r="B35">
        <v>6.1292</v>
      </c>
      <c r="C35">
        <v>6.1310000000000002</v>
      </c>
      <c r="D35" s="7">
        <v>46073.543356481481</v>
      </c>
      <c r="E35">
        <v>-0.02</v>
      </c>
      <c r="F35">
        <v>-0.02</v>
      </c>
      <c r="G35">
        <v>-0.27</v>
      </c>
      <c r="H35">
        <v>-0.27</v>
      </c>
      <c r="I35" t="s">
        <v>15</v>
      </c>
    </row>
    <row r="36" spans="1:9" x14ac:dyDescent="0.25">
      <c r="A36">
        <v>17761</v>
      </c>
      <c r="B36">
        <v>6.0891000000000002</v>
      </c>
      <c r="C36">
        <v>6.0903</v>
      </c>
      <c r="D36" s="7">
        <v>46076.543379629627</v>
      </c>
      <c r="E36">
        <v>-0.04</v>
      </c>
      <c r="F36">
        <v>-0.04</v>
      </c>
      <c r="G36">
        <v>-0.66</v>
      </c>
      <c r="H36">
        <v>-0.65</v>
      </c>
      <c r="I36" t="s">
        <v>15</v>
      </c>
    </row>
    <row r="37" spans="1:9" x14ac:dyDescent="0.25">
      <c r="A37">
        <v>17762</v>
      </c>
      <c r="B37">
        <v>6.0827999999999998</v>
      </c>
      <c r="C37">
        <v>6.0845000000000002</v>
      </c>
      <c r="D37" s="7">
        <v>46077.54478009259</v>
      </c>
      <c r="E37">
        <v>-0.01</v>
      </c>
      <c r="F37">
        <v>-0.01</v>
      </c>
      <c r="G37">
        <v>-0.1</v>
      </c>
      <c r="H37">
        <v>-0.1</v>
      </c>
      <c r="I37" t="s">
        <v>15</v>
      </c>
    </row>
    <row r="38" spans="1:9" x14ac:dyDescent="0.25">
      <c r="A38">
        <v>17763</v>
      </c>
      <c r="B38">
        <v>6.0697000000000001</v>
      </c>
      <c r="C38">
        <v>6.0709</v>
      </c>
      <c r="D38" s="7">
        <v>46078.54546296296</v>
      </c>
      <c r="E38">
        <v>-0.01</v>
      </c>
      <c r="F38">
        <v>-0.01</v>
      </c>
      <c r="G38">
        <v>-0.22</v>
      </c>
      <c r="H38">
        <v>-0.22</v>
      </c>
      <c r="I38" t="s">
        <v>15</v>
      </c>
    </row>
    <row r="39" spans="1:9" x14ac:dyDescent="0.25">
      <c r="A39">
        <v>17764</v>
      </c>
      <c r="B39">
        <v>6.0613000000000001</v>
      </c>
      <c r="C39">
        <v>6.0631000000000004</v>
      </c>
      <c r="D39" s="7">
        <v>46079.546215277776</v>
      </c>
      <c r="E39">
        <v>-0.01</v>
      </c>
      <c r="F39">
        <v>-0.01</v>
      </c>
      <c r="G39">
        <v>-0.13</v>
      </c>
      <c r="H39">
        <v>-0.14000000000000001</v>
      </c>
      <c r="I39" t="s">
        <v>15</v>
      </c>
    </row>
    <row r="40" spans="1:9" x14ac:dyDescent="0.25">
      <c r="A40">
        <v>17765</v>
      </c>
      <c r="B40">
        <v>6.0762</v>
      </c>
      <c r="C40">
        <v>6.0795000000000003</v>
      </c>
      <c r="D40" s="7">
        <v>46080.543368055558</v>
      </c>
      <c r="E40">
        <v>0.02</v>
      </c>
      <c r="F40">
        <v>0.01</v>
      </c>
      <c r="G40">
        <v>0.27</v>
      </c>
      <c r="H40">
        <v>0.25</v>
      </c>
      <c r="I40" t="s">
        <v>15</v>
      </c>
    </row>
    <row r="41" spans="1:9" x14ac:dyDescent="0.25">
      <c r="A41">
        <v>17766</v>
      </c>
      <c r="B41">
        <v>6.0724999999999998</v>
      </c>
      <c r="C41">
        <v>6.0742000000000003</v>
      </c>
      <c r="D41" s="7">
        <v>46083.548217592594</v>
      </c>
      <c r="E41">
        <v>-0.01</v>
      </c>
      <c r="F41">
        <v>0</v>
      </c>
      <c r="G41">
        <v>-0.09</v>
      </c>
      <c r="H41">
        <v>-0.06</v>
      </c>
      <c r="I41" t="s">
        <v>15</v>
      </c>
    </row>
    <row r="42" spans="1:9" x14ac:dyDescent="0.25">
      <c r="A42">
        <v>17767</v>
      </c>
      <c r="B42">
        <v>6.1180000000000003</v>
      </c>
      <c r="C42">
        <v>6.1196999999999999</v>
      </c>
      <c r="D42" s="7">
        <v>46084.548935185187</v>
      </c>
      <c r="E42">
        <v>0.05</v>
      </c>
      <c r="F42">
        <v>0.05</v>
      </c>
      <c r="G42">
        <v>0.75</v>
      </c>
      <c r="H42">
        <v>0.75</v>
      </c>
      <c r="I42" t="s">
        <v>15</v>
      </c>
    </row>
    <row r="43" spans="1:9" x14ac:dyDescent="0.25">
      <c r="A43">
        <v>17768</v>
      </c>
      <c r="B43">
        <v>6.0621999999999998</v>
      </c>
      <c r="C43">
        <v>6.0639000000000003</v>
      </c>
      <c r="D43" s="7">
        <v>46085.546840277777</v>
      </c>
      <c r="E43">
        <v>-0.06</v>
      </c>
      <c r="F43">
        <v>-0.06</v>
      </c>
      <c r="G43">
        <v>-0.91</v>
      </c>
      <c r="H43">
        <v>-0.91</v>
      </c>
      <c r="I43" t="s">
        <v>15</v>
      </c>
    </row>
    <row r="44" spans="1:9" x14ac:dyDescent="0.25">
      <c r="A44">
        <v>17769</v>
      </c>
      <c r="B44">
        <v>6.0736999999999997</v>
      </c>
      <c r="C44">
        <v>6.0749000000000004</v>
      </c>
      <c r="D44" s="7">
        <v>46086.54409722222</v>
      </c>
      <c r="E44">
        <v>0.01</v>
      </c>
      <c r="F44">
        <v>0.01</v>
      </c>
      <c r="G44">
        <v>0.18</v>
      </c>
      <c r="H44">
        <v>0.19</v>
      </c>
      <c r="I44" t="s">
        <v>15</v>
      </c>
    </row>
    <row r="45" spans="1:9" x14ac:dyDescent="0.25">
      <c r="A45">
        <v>17770</v>
      </c>
      <c r="B45">
        <v>6.1219999999999999</v>
      </c>
      <c r="C45">
        <v>6.1238000000000001</v>
      </c>
      <c r="D45" s="7">
        <v>46087.548935185187</v>
      </c>
      <c r="E45">
        <v>0.05</v>
      </c>
      <c r="F45">
        <v>0.05</v>
      </c>
      <c r="G45">
        <v>0.8</v>
      </c>
      <c r="H45">
        <v>0.8</v>
      </c>
      <c r="I45" t="s">
        <v>15</v>
      </c>
    </row>
    <row r="46" spans="1:9" x14ac:dyDescent="0.25">
      <c r="A46">
        <v>17771</v>
      </c>
      <c r="B46">
        <v>6.0433000000000003</v>
      </c>
      <c r="C46">
        <v>6.0445000000000002</v>
      </c>
      <c r="D46" s="7">
        <v>46090.548935185187</v>
      </c>
      <c r="E46">
        <v>-0.08</v>
      </c>
      <c r="F46">
        <v>-0.08</v>
      </c>
      <c r="G46">
        <v>-1.29</v>
      </c>
      <c r="H46">
        <v>-1.29</v>
      </c>
      <c r="I46" t="s">
        <v>15</v>
      </c>
    </row>
    <row r="47" spans="1:9" x14ac:dyDescent="0.25">
      <c r="A47">
        <v>17772</v>
      </c>
      <c r="B47">
        <v>6.0111999999999997</v>
      </c>
      <c r="C47">
        <v>6.0129000000000001</v>
      </c>
      <c r="D47" s="7">
        <v>46091.548217592594</v>
      </c>
      <c r="E47">
        <v>-0.03</v>
      </c>
      <c r="F47">
        <v>-0.03</v>
      </c>
      <c r="G47">
        <v>-0.52</v>
      </c>
      <c r="H47">
        <v>-0.53</v>
      </c>
      <c r="I47" t="s">
        <v>15</v>
      </c>
    </row>
    <row r="48" spans="1:9" x14ac:dyDescent="0.25">
      <c r="A48">
        <v>17773</v>
      </c>
      <c r="B48">
        <v>5.9668999999999999</v>
      </c>
      <c r="C48">
        <v>5.9680999999999997</v>
      </c>
      <c r="D48" s="7">
        <v>46092.544745370367</v>
      </c>
      <c r="E48">
        <v>-0.04</v>
      </c>
      <c r="F48">
        <v>-0.04</v>
      </c>
      <c r="G48">
        <v>-0.75</v>
      </c>
      <c r="H48">
        <v>-0.74</v>
      </c>
      <c r="I48" t="s">
        <v>15</v>
      </c>
    </row>
    <row r="49" spans="1:9" x14ac:dyDescent="0.25">
      <c r="A49">
        <v>17774</v>
      </c>
      <c r="B49">
        <v>5.9961000000000002</v>
      </c>
      <c r="C49">
        <v>5.9977999999999998</v>
      </c>
      <c r="D49" s="7">
        <v>46093.548946759256</v>
      </c>
      <c r="E49">
        <v>0.03</v>
      </c>
      <c r="F49">
        <v>0.03</v>
      </c>
      <c r="G49">
        <v>0.5</v>
      </c>
      <c r="H49">
        <v>0.49</v>
      </c>
      <c r="I49" t="s">
        <v>15</v>
      </c>
    </row>
    <row r="50" spans="1:9" x14ac:dyDescent="0.25">
      <c r="A50">
        <v>17775</v>
      </c>
      <c r="B50">
        <v>6.0115999999999996</v>
      </c>
      <c r="C50">
        <v>6.0128000000000004</v>
      </c>
      <c r="D50" s="7">
        <v>46094.544085648151</v>
      </c>
      <c r="E50">
        <v>0.02</v>
      </c>
      <c r="F50">
        <v>0.02</v>
      </c>
      <c r="G50">
        <v>0.25</v>
      </c>
      <c r="H50">
        <v>0.26</v>
      </c>
      <c r="I50" t="s">
        <v>15</v>
      </c>
    </row>
    <row r="51" spans="1:9" x14ac:dyDescent="0.25">
      <c r="A51">
        <v>17776</v>
      </c>
      <c r="B51">
        <v>6.0457999999999998</v>
      </c>
      <c r="C51">
        <v>6.0476000000000001</v>
      </c>
      <c r="D51" s="7">
        <v>46097.547511574077</v>
      </c>
      <c r="E51">
        <v>0.03</v>
      </c>
      <c r="F51">
        <v>0.03</v>
      </c>
      <c r="G51">
        <v>0.57999999999999996</v>
      </c>
      <c r="H51">
        <v>0.56999999999999995</v>
      </c>
      <c r="I51" t="s">
        <v>15</v>
      </c>
    </row>
    <row r="52" spans="1:9" x14ac:dyDescent="0.25">
      <c r="A52">
        <v>17777</v>
      </c>
      <c r="B52">
        <v>5.9943</v>
      </c>
      <c r="C52">
        <v>5.9961000000000002</v>
      </c>
      <c r="D52" s="7">
        <v>46098.548298611109</v>
      </c>
      <c r="E52">
        <v>-0.05</v>
      </c>
      <c r="F52">
        <v>-0.05</v>
      </c>
      <c r="G52">
        <v>-0.85</v>
      </c>
      <c r="H52">
        <v>-0.85</v>
      </c>
      <c r="I52" t="s">
        <v>15</v>
      </c>
    </row>
    <row r="53" spans="1:9" x14ac:dyDescent="0.25">
      <c r="A53">
        <v>17778</v>
      </c>
      <c r="B53">
        <v>5.9984000000000002</v>
      </c>
      <c r="C53">
        <v>6.0002000000000004</v>
      </c>
      <c r="D53" s="7">
        <v>46099.54760416667</v>
      </c>
      <c r="E53">
        <v>0</v>
      </c>
      <c r="F53">
        <v>0</v>
      </c>
      <c r="G53">
        <v>7.0000000000000007E-2</v>
      </c>
      <c r="H53">
        <v>7.0000000000000007E-2</v>
      </c>
      <c r="I53" t="s">
        <v>15</v>
      </c>
    </row>
    <row r="54" spans="1:9" x14ac:dyDescent="0.25">
      <c r="A54">
        <v>17779</v>
      </c>
      <c r="B54">
        <v>6.0537000000000001</v>
      </c>
      <c r="C54">
        <v>6.0553999999999997</v>
      </c>
      <c r="D54" s="7">
        <v>46100.543368055558</v>
      </c>
      <c r="E54">
        <v>0.06</v>
      </c>
      <c r="F54">
        <v>0.06</v>
      </c>
      <c r="G54">
        <v>0.92</v>
      </c>
      <c r="H54">
        <v>0.92</v>
      </c>
      <c r="I54" t="s">
        <v>15</v>
      </c>
    </row>
    <row r="55" spans="1:9" x14ac:dyDescent="0.25">
      <c r="A55">
        <v>17780</v>
      </c>
      <c r="B55">
        <v>6.0933999999999999</v>
      </c>
      <c r="C55">
        <v>6.0952000000000002</v>
      </c>
      <c r="D55" s="7">
        <v>46101.549629629626</v>
      </c>
      <c r="E55">
        <v>0.04</v>
      </c>
      <c r="F55">
        <v>0.04</v>
      </c>
      <c r="G55">
        <v>0.66</v>
      </c>
      <c r="H55">
        <v>0.66</v>
      </c>
      <c r="I55" t="s">
        <v>15</v>
      </c>
    </row>
    <row r="56" spans="1:9" x14ac:dyDescent="0.25">
      <c r="A56">
        <v>17781</v>
      </c>
      <c r="B56">
        <v>6.0734000000000004</v>
      </c>
      <c r="C56">
        <v>6.0757000000000003</v>
      </c>
      <c r="D56" s="7">
        <v>46104.549629629626</v>
      </c>
      <c r="E56">
        <v>-0.02</v>
      </c>
      <c r="F56">
        <v>-0.02</v>
      </c>
      <c r="G56">
        <v>-0.32</v>
      </c>
      <c r="H56">
        <v>-0.33</v>
      </c>
      <c r="I56" t="s">
        <v>15</v>
      </c>
    </row>
    <row r="57" spans="1:9" x14ac:dyDescent="0.25">
      <c r="A57">
        <v>17782</v>
      </c>
      <c r="B57">
        <v>6.0887000000000002</v>
      </c>
      <c r="C57">
        <v>6.0903999999999998</v>
      </c>
      <c r="D57" s="7">
        <v>46105.548252314817</v>
      </c>
      <c r="E57">
        <v>0.01</v>
      </c>
      <c r="F57">
        <v>0.02</v>
      </c>
      <c r="G57">
        <v>0.24</v>
      </c>
      <c r="H57">
        <v>0.25</v>
      </c>
      <c r="I57" t="s">
        <v>15</v>
      </c>
    </row>
    <row r="58" spans="1:9" x14ac:dyDescent="0.25">
      <c r="A58">
        <v>17783</v>
      </c>
      <c r="B58">
        <v>6.0469999999999997</v>
      </c>
      <c r="C58">
        <v>6.0481999999999996</v>
      </c>
      <c r="D58" s="7">
        <v>46106.547615740739</v>
      </c>
      <c r="E58">
        <v>-0.04</v>
      </c>
      <c r="F58">
        <v>-0.04</v>
      </c>
      <c r="G58">
        <v>-0.69</v>
      </c>
      <c r="H58">
        <v>-0.68</v>
      </c>
      <c r="I58" t="s">
        <v>15</v>
      </c>
    </row>
    <row r="59" spans="1:9" x14ac:dyDescent="0.25">
      <c r="A59">
        <v>17784</v>
      </c>
      <c r="B59">
        <v>6.0362</v>
      </c>
      <c r="C59">
        <v>6.0373999999999999</v>
      </c>
      <c r="D59" s="7">
        <v>46107.549409722225</v>
      </c>
      <c r="E59">
        <v>-0.01</v>
      </c>
      <c r="F59">
        <v>-0.01</v>
      </c>
      <c r="G59">
        <v>-0.18</v>
      </c>
      <c r="H59">
        <v>-0.18</v>
      </c>
      <c r="I59" t="s">
        <v>15</v>
      </c>
    </row>
    <row r="60" spans="1:9" x14ac:dyDescent="0.25">
      <c r="A60">
        <v>17785</v>
      </c>
      <c r="B60">
        <v>6.0324999999999998</v>
      </c>
      <c r="C60">
        <v>6.0336999999999996</v>
      </c>
      <c r="D60" s="7">
        <v>46108.549791666665</v>
      </c>
      <c r="E60">
        <v>0</v>
      </c>
      <c r="F60">
        <v>0</v>
      </c>
      <c r="G60">
        <v>-0.06</v>
      </c>
      <c r="H60">
        <v>-0.06</v>
      </c>
      <c r="I60" t="s">
        <v>15</v>
      </c>
    </row>
    <row r="61" spans="1:9" x14ac:dyDescent="0.25">
      <c r="A61">
        <v>17786</v>
      </c>
      <c r="B61">
        <v>5.9958</v>
      </c>
      <c r="C61">
        <v>5.9969999999999999</v>
      </c>
      <c r="D61" s="7">
        <v>46111.548935185187</v>
      </c>
      <c r="E61">
        <v>-0.04</v>
      </c>
      <c r="F61">
        <v>-0.04</v>
      </c>
      <c r="G61">
        <v>-0.61</v>
      </c>
      <c r="H61">
        <v>-0.61</v>
      </c>
      <c r="I61" t="s">
        <v>15</v>
      </c>
    </row>
    <row r="62" spans="1:9" x14ac:dyDescent="0.25">
      <c r="A62">
        <v>17787</v>
      </c>
      <c r="B62">
        <v>6.01</v>
      </c>
      <c r="C62">
        <v>6.0117000000000003</v>
      </c>
      <c r="D62" s="7">
        <v>46112.544710648152</v>
      </c>
      <c r="E62">
        <v>0.01</v>
      </c>
      <c r="F62">
        <v>0.01</v>
      </c>
      <c r="G62">
        <v>0.25</v>
      </c>
      <c r="H62">
        <v>0.24</v>
      </c>
      <c r="I62" t="s">
        <v>15</v>
      </c>
    </row>
    <row r="63" spans="1:9" x14ac:dyDescent="0.25">
      <c r="A63">
        <v>17788</v>
      </c>
      <c r="B63">
        <v>5.9923000000000002</v>
      </c>
      <c r="C63">
        <v>5.9935</v>
      </c>
      <c r="D63" s="7">
        <v>46113.546157407407</v>
      </c>
      <c r="E63">
        <v>-0.02</v>
      </c>
      <c r="F63">
        <v>-0.02</v>
      </c>
      <c r="G63">
        <v>-0.3</v>
      </c>
      <c r="H63">
        <v>-0.28999999999999998</v>
      </c>
      <c r="I63" t="s">
        <v>15</v>
      </c>
    </row>
    <row r="64" spans="1:9" x14ac:dyDescent="0.25">
      <c r="A64">
        <v>17789</v>
      </c>
      <c r="B64">
        <v>5.9629000000000003</v>
      </c>
      <c r="C64">
        <v>5.9641000000000002</v>
      </c>
      <c r="D64" s="7">
        <v>46114.54892361111</v>
      </c>
      <c r="E64">
        <v>-0.03</v>
      </c>
      <c r="F64">
        <v>-0.03</v>
      </c>
      <c r="G64">
        <v>-0.49</v>
      </c>
      <c r="H64">
        <v>-0.49</v>
      </c>
      <c r="I64" t="s">
        <v>15</v>
      </c>
    </row>
    <row r="65" spans="1:9" x14ac:dyDescent="0.25">
      <c r="A65">
        <v>17790</v>
      </c>
      <c r="B65">
        <v>5.9476000000000004</v>
      </c>
      <c r="C65">
        <v>5.9499000000000004</v>
      </c>
      <c r="D65" s="7">
        <v>46118.546122685184</v>
      </c>
      <c r="E65">
        <v>-0.01</v>
      </c>
      <c r="F65">
        <v>-0.02</v>
      </c>
      <c r="G65">
        <v>-0.24</v>
      </c>
      <c r="H65">
        <v>-0.26</v>
      </c>
      <c r="I65" t="s">
        <v>15</v>
      </c>
    </row>
    <row r="66" spans="1:9" x14ac:dyDescent="0.25">
      <c r="A66">
        <v>17791</v>
      </c>
      <c r="B66">
        <v>5.9728000000000003</v>
      </c>
      <c r="C66">
        <v>5.9740000000000002</v>
      </c>
      <c r="D66" s="7">
        <v>46119.547523148147</v>
      </c>
      <c r="E66">
        <v>0.02</v>
      </c>
      <c r="F66">
        <v>0.03</v>
      </c>
      <c r="G66">
        <v>0.41</v>
      </c>
      <c r="H66">
        <v>0.42</v>
      </c>
      <c r="I66" t="s">
        <v>15</v>
      </c>
    </row>
    <row r="67" spans="1:9" x14ac:dyDescent="0.25">
      <c r="A67">
        <v>17792</v>
      </c>
      <c r="B67">
        <v>5.9467999999999996</v>
      </c>
      <c r="C67">
        <v>5.9485999999999999</v>
      </c>
      <c r="D67" s="7">
        <v>46120.543391203704</v>
      </c>
      <c r="E67">
        <v>-0.03</v>
      </c>
      <c r="F67">
        <v>-0.03</v>
      </c>
      <c r="G67">
        <v>-0.43</v>
      </c>
      <c r="H67">
        <v>-0.44</v>
      </c>
      <c r="I67" t="s">
        <v>15</v>
      </c>
    </row>
    <row r="68" spans="1:9" x14ac:dyDescent="0.25">
      <c r="A68">
        <v>17793</v>
      </c>
      <c r="B68">
        <v>5.9478999999999997</v>
      </c>
      <c r="C68">
        <v>5.9490999999999996</v>
      </c>
      <c r="D68" s="7">
        <v>46121.548958333333</v>
      </c>
      <c r="E68">
        <v>0</v>
      </c>
      <c r="F68">
        <v>0</v>
      </c>
      <c r="G68">
        <v>0.01</v>
      </c>
      <c r="H68">
        <v>0.02</v>
      </c>
      <c r="I68" t="s">
        <v>15</v>
      </c>
    </row>
    <row r="69" spans="1:9" x14ac:dyDescent="0.25">
      <c r="A69">
        <v>17794</v>
      </c>
      <c r="B69">
        <v>5.8865999999999996</v>
      </c>
      <c r="C69">
        <v>5.8883000000000001</v>
      </c>
      <c r="D69" s="7">
        <v>46122.544733796298</v>
      </c>
      <c r="E69">
        <v>-0.06</v>
      </c>
      <c r="F69">
        <v>-0.06</v>
      </c>
      <c r="G69">
        <v>-1.02</v>
      </c>
      <c r="H69">
        <v>-1.03</v>
      </c>
      <c r="I69" t="s">
        <v>15</v>
      </c>
    </row>
    <row r="70" spans="1:9" x14ac:dyDescent="0.25">
      <c r="A70">
        <v>17795</v>
      </c>
      <c r="B70">
        <v>5.8823999999999996</v>
      </c>
      <c r="C70">
        <v>5.8841000000000001</v>
      </c>
      <c r="D70" s="7">
        <v>46125.545069444444</v>
      </c>
      <c r="E70">
        <v>0</v>
      </c>
      <c r="F70">
        <v>0</v>
      </c>
      <c r="G70">
        <v>-7.0000000000000007E-2</v>
      </c>
      <c r="H70">
        <v>-7.0000000000000007E-2</v>
      </c>
      <c r="I70" t="s">
        <v>15</v>
      </c>
    </row>
    <row r="71" spans="1:9" x14ac:dyDescent="0.25">
      <c r="A71">
        <v>17796</v>
      </c>
      <c r="B71">
        <v>5.8708999999999998</v>
      </c>
      <c r="C71">
        <v>5.8726000000000003</v>
      </c>
      <c r="D71" s="7">
        <v>46126.544062499997</v>
      </c>
      <c r="E71">
        <v>-0.01</v>
      </c>
      <c r="F71">
        <v>-0.01</v>
      </c>
      <c r="G71">
        <v>-0.2</v>
      </c>
      <c r="H71">
        <v>-0.2</v>
      </c>
      <c r="I71" t="s">
        <v>15</v>
      </c>
    </row>
    <row r="72" spans="1:9" x14ac:dyDescent="0.25">
      <c r="A72">
        <v>17797</v>
      </c>
      <c r="B72">
        <v>5.8898000000000001</v>
      </c>
      <c r="C72">
        <v>5.891</v>
      </c>
      <c r="D72" s="7">
        <v>46127.546134259261</v>
      </c>
      <c r="E72">
        <v>0.02</v>
      </c>
      <c r="F72">
        <v>0.02</v>
      </c>
      <c r="G72">
        <v>0.31</v>
      </c>
      <c r="H72">
        <v>0.32</v>
      </c>
      <c r="I72" t="s">
        <v>15</v>
      </c>
    </row>
    <row r="73" spans="1:9" x14ac:dyDescent="0.25">
      <c r="A73">
        <v>17798</v>
      </c>
      <c r="B73">
        <v>5.8906000000000001</v>
      </c>
      <c r="C73">
        <v>5.8922999999999996</v>
      </c>
      <c r="D73" s="7">
        <v>46128.544085648151</v>
      </c>
      <c r="E73">
        <v>0</v>
      </c>
      <c r="F73">
        <v>0</v>
      </c>
      <c r="G73">
        <v>0.02</v>
      </c>
      <c r="H73">
        <v>0.01</v>
      </c>
      <c r="I73" t="s">
        <v>15</v>
      </c>
    </row>
    <row r="74" spans="1:9" x14ac:dyDescent="0.25">
      <c r="A74">
        <v>17799</v>
      </c>
      <c r="B74">
        <v>5.8632999999999997</v>
      </c>
      <c r="C74">
        <v>5.8644999999999996</v>
      </c>
      <c r="D74" s="7">
        <v>46129.548229166663</v>
      </c>
      <c r="E74">
        <v>-0.03</v>
      </c>
      <c r="F74">
        <v>-0.03</v>
      </c>
      <c r="G74">
        <v>-0.47</v>
      </c>
      <c r="H74">
        <v>-0.46</v>
      </c>
      <c r="I74" t="s">
        <v>15</v>
      </c>
    </row>
    <row r="75" spans="1:9" x14ac:dyDescent="0.25">
      <c r="A75">
        <v>17800</v>
      </c>
      <c r="B75">
        <v>5.8728999999999996</v>
      </c>
      <c r="C75">
        <v>5.8741000000000003</v>
      </c>
      <c r="D75" s="7">
        <v>46132.543356481481</v>
      </c>
      <c r="E75">
        <v>0.01</v>
      </c>
      <c r="F75">
        <v>0.01</v>
      </c>
      <c r="G75">
        <v>0.16</v>
      </c>
      <c r="H75">
        <v>0.16</v>
      </c>
      <c r="I75" t="s">
        <v>15</v>
      </c>
    </row>
    <row r="76" spans="1:9" x14ac:dyDescent="0.25">
      <c r="A76">
        <v>17801</v>
      </c>
      <c r="B76">
        <v>5.8151999999999999</v>
      </c>
      <c r="C76">
        <v>5.8163999999999998</v>
      </c>
      <c r="D76" s="7">
        <v>46134.549629629626</v>
      </c>
      <c r="E76">
        <v>-0.06</v>
      </c>
      <c r="F76">
        <v>-0.06</v>
      </c>
      <c r="G76">
        <v>-0.98</v>
      </c>
      <c r="H76">
        <v>-0.98</v>
      </c>
      <c r="I76" t="s">
        <v>15</v>
      </c>
    </row>
    <row r="77" spans="1:9" x14ac:dyDescent="0.25">
      <c r="A77">
        <v>17802</v>
      </c>
      <c r="B77">
        <v>5.7968000000000002</v>
      </c>
      <c r="C77">
        <v>5.7984999999999998</v>
      </c>
      <c r="D77" s="7">
        <v>46135.544050925928</v>
      </c>
      <c r="E77">
        <v>-0.02</v>
      </c>
      <c r="F77">
        <v>-0.02</v>
      </c>
      <c r="G77">
        <v>-0.31</v>
      </c>
      <c r="H77">
        <v>-0.32</v>
      </c>
      <c r="I77" t="s">
        <v>15</v>
      </c>
    </row>
    <row r="78" spans="1:9" x14ac:dyDescent="0.25">
      <c r="A78">
        <v>17803</v>
      </c>
      <c r="B78">
        <v>5.8674999999999997</v>
      </c>
      <c r="C78">
        <v>5.8692000000000002</v>
      </c>
      <c r="D78" s="7">
        <v>46136.546018518522</v>
      </c>
      <c r="E78">
        <v>7.0000000000000007E-2</v>
      </c>
      <c r="F78">
        <v>7.0000000000000007E-2</v>
      </c>
      <c r="G78">
        <v>1.22</v>
      </c>
      <c r="H78">
        <v>1.22</v>
      </c>
      <c r="I78" t="s">
        <v>15</v>
      </c>
    </row>
    <row r="79" spans="1:9" x14ac:dyDescent="0.25">
      <c r="A79">
        <v>17804</v>
      </c>
      <c r="B79">
        <v>5.8291000000000004</v>
      </c>
      <c r="C79">
        <v>5.8303000000000003</v>
      </c>
      <c r="D79" s="7">
        <v>46139.545995370368</v>
      </c>
      <c r="E79">
        <v>-0.04</v>
      </c>
      <c r="F79">
        <v>-0.04</v>
      </c>
      <c r="G79">
        <v>-0.66</v>
      </c>
      <c r="H79">
        <v>-0.65</v>
      </c>
      <c r="I79" t="s">
        <v>15</v>
      </c>
    </row>
    <row r="80" spans="1:9" x14ac:dyDescent="0.25">
      <c r="A80">
        <v>17805</v>
      </c>
      <c r="B80">
        <v>5.8419999999999996</v>
      </c>
      <c r="C80">
        <v>5.8432000000000004</v>
      </c>
      <c r="D80" s="7">
        <v>46140.54891203704</v>
      </c>
      <c r="E80">
        <v>0.01</v>
      </c>
      <c r="F80">
        <v>0.01</v>
      </c>
      <c r="G80">
        <v>0.22</v>
      </c>
      <c r="H80">
        <v>0.22</v>
      </c>
      <c r="I80" t="s">
        <v>15</v>
      </c>
    </row>
    <row r="81" spans="1:9" x14ac:dyDescent="0.25">
      <c r="A81">
        <v>17806</v>
      </c>
      <c r="B81">
        <v>5.8445</v>
      </c>
      <c r="C81">
        <v>5.8456999999999999</v>
      </c>
      <c r="D81" s="7">
        <v>46141.54959490741</v>
      </c>
      <c r="E81">
        <v>0</v>
      </c>
      <c r="F81">
        <v>0</v>
      </c>
      <c r="G81">
        <v>0.04</v>
      </c>
      <c r="H81">
        <v>0.04</v>
      </c>
      <c r="I81" t="s">
        <v>15</v>
      </c>
    </row>
    <row r="82" spans="1:9" x14ac:dyDescent="0.25">
      <c r="A82">
        <v>17807</v>
      </c>
      <c r="B82">
        <v>5.8498999999999999</v>
      </c>
      <c r="C82">
        <v>5.8510999999999997</v>
      </c>
      <c r="D82" s="7">
        <v>46142.546157407407</v>
      </c>
      <c r="E82">
        <v>0.01</v>
      </c>
      <c r="F82">
        <v>0.01</v>
      </c>
      <c r="G82">
        <v>0.09</v>
      </c>
      <c r="H82">
        <v>0.09</v>
      </c>
      <c r="I82" t="s">
        <v>15</v>
      </c>
    </row>
    <row r="83" spans="1:9" x14ac:dyDescent="0.25">
      <c r="A83">
        <v>17808</v>
      </c>
      <c r="B83">
        <v>5.7995000000000001</v>
      </c>
      <c r="C83">
        <v>5.8007</v>
      </c>
      <c r="D83" s="7">
        <v>46146.548217592594</v>
      </c>
      <c r="E83">
        <v>-0.05</v>
      </c>
      <c r="F83">
        <v>-0.05</v>
      </c>
      <c r="G83">
        <v>-0.86</v>
      </c>
      <c r="H83">
        <v>-0.86</v>
      </c>
      <c r="I83" t="s">
        <v>15</v>
      </c>
    </row>
    <row r="84" spans="1:9" x14ac:dyDescent="0.25">
      <c r="A84">
        <v>17809</v>
      </c>
      <c r="B84">
        <v>5.7636000000000003</v>
      </c>
      <c r="C84">
        <v>5.7648000000000001</v>
      </c>
      <c r="D84" s="7">
        <v>46147.544745370367</v>
      </c>
      <c r="E84">
        <v>-0.04</v>
      </c>
      <c r="F84">
        <v>-0.04</v>
      </c>
      <c r="G84">
        <v>-0.62</v>
      </c>
      <c r="H84">
        <v>-0.62</v>
      </c>
      <c r="I84" t="s">
        <v>15</v>
      </c>
    </row>
    <row r="85" spans="1:9" x14ac:dyDescent="0.25">
      <c r="A85">
        <v>17810</v>
      </c>
      <c r="B85">
        <v>5.79</v>
      </c>
      <c r="C85">
        <v>5.7911999999999999</v>
      </c>
      <c r="D85" s="7">
        <v>46148.547546296293</v>
      </c>
      <c r="E85">
        <v>0.03</v>
      </c>
      <c r="F85">
        <v>0.03</v>
      </c>
      <c r="G85">
        <v>0.46</v>
      </c>
      <c r="H85">
        <v>0.46</v>
      </c>
      <c r="I85" t="s">
        <v>15</v>
      </c>
    </row>
    <row r="86" spans="1:9" x14ac:dyDescent="0.25">
      <c r="A86">
        <v>17811</v>
      </c>
      <c r="B86">
        <v>5.7831999999999999</v>
      </c>
      <c r="C86">
        <v>5.7843999999999998</v>
      </c>
      <c r="D86" s="7">
        <v>46149.548252314817</v>
      </c>
      <c r="E86">
        <v>-0.01</v>
      </c>
      <c r="F86">
        <v>-0.01</v>
      </c>
      <c r="G86">
        <v>-0.12</v>
      </c>
      <c r="H86">
        <v>-0.12</v>
      </c>
      <c r="I86" t="s">
        <v>15</v>
      </c>
    </row>
    <row r="87" spans="1:9" x14ac:dyDescent="0.25">
      <c r="A87">
        <v>17812</v>
      </c>
      <c r="B87">
        <v>5.7675000000000001</v>
      </c>
      <c r="C87">
        <v>5.7690999999999999</v>
      </c>
      <c r="D87" s="7">
        <v>46150.54550925926</v>
      </c>
      <c r="E87">
        <v>-0.02</v>
      </c>
      <c r="F87">
        <v>-0.02</v>
      </c>
      <c r="G87">
        <v>-0.26</v>
      </c>
      <c r="H87">
        <v>-0.27</v>
      </c>
      <c r="I87" t="s">
        <v>15</v>
      </c>
    </row>
    <row r="88" spans="1:9" x14ac:dyDescent="0.25">
      <c r="A88">
        <v>17813</v>
      </c>
      <c r="B88">
        <v>5.7678000000000003</v>
      </c>
      <c r="C88">
        <v>5.7694999999999999</v>
      </c>
      <c r="D88" s="7">
        <v>46153.547511574077</v>
      </c>
      <c r="E88">
        <v>0</v>
      </c>
      <c r="F88">
        <v>0</v>
      </c>
      <c r="G88">
        <v>0.01</v>
      </c>
      <c r="H88">
        <v>0.01</v>
      </c>
      <c r="I88" t="s">
        <v>15</v>
      </c>
    </row>
    <row r="89" spans="1:9" x14ac:dyDescent="0.25">
      <c r="A89">
        <v>17814</v>
      </c>
      <c r="B89">
        <v>5.7453000000000003</v>
      </c>
      <c r="C89">
        <v>5.7465000000000002</v>
      </c>
      <c r="D89" s="7">
        <v>46154.549618055556</v>
      </c>
      <c r="E89">
        <v>-0.02</v>
      </c>
      <c r="F89">
        <v>-0.02</v>
      </c>
      <c r="G89">
        <v>-0.4</v>
      </c>
      <c r="H89">
        <v>-0.39</v>
      </c>
      <c r="I89" t="s">
        <v>15</v>
      </c>
    </row>
    <row r="90" spans="1:9" x14ac:dyDescent="0.25">
      <c r="A90">
        <v>17815</v>
      </c>
      <c r="B90">
        <v>5.7510000000000003</v>
      </c>
      <c r="C90">
        <v>5.7522000000000002</v>
      </c>
      <c r="D90" s="7">
        <v>46155.554108796299</v>
      </c>
      <c r="E90">
        <v>0.01</v>
      </c>
      <c r="F90">
        <v>0.01</v>
      </c>
      <c r="G90">
        <v>0.1</v>
      </c>
      <c r="H90">
        <v>0.1</v>
      </c>
      <c r="I90" t="s">
        <v>15</v>
      </c>
    </row>
    <row r="91" spans="1:9" x14ac:dyDescent="0.25">
      <c r="A91">
        <v>17816</v>
      </c>
      <c r="B91">
        <v>5.8155000000000001</v>
      </c>
      <c r="C91">
        <v>5.8167</v>
      </c>
      <c r="D91" s="7">
        <v>46156.543923611112</v>
      </c>
      <c r="E91">
        <v>0.06</v>
      </c>
      <c r="F91">
        <v>0.06</v>
      </c>
      <c r="G91">
        <v>1.1200000000000001</v>
      </c>
      <c r="H91">
        <v>1.1200000000000001</v>
      </c>
      <c r="I91" t="s">
        <v>15</v>
      </c>
    </row>
    <row r="92" spans="1:9" x14ac:dyDescent="0.25">
      <c r="A92">
        <v>17817</v>
      </c>
      <c r="B92">
        <v>5.8883000000000001</v>
      </c>
      <c r="C92">
        <v>5.89</v>
      </c>
      <c r="D92" s="7">
        <v>46157.547534722224</v>
      </c>
      <c r="E92">
        <v>7.0000000000000007E-2</v>
      </c>
      <c r="F92">
        <v>7.0000000000000007E-2</v>
      </c>
      <c r="G92">
        <v>1.26</v>
      </c>
      <c r="H92">
        <v>1.25</v>
      </c>
      <c r="I92" t="s">
        <v>15</v>
      </c>
    </row>
    <row r="93" spans="1:9" x14ac:dyDescent="0.25">
      <c r="D93" s="7"/>
    </row>
    <row r="94" spans="1:9" x14ac:dyDescent="0.25">
      <c r="D94" s="7"/>
    </row>
    <row r="95" spans="1:9" x14ac:dyDescent="0.25">
      <c r="D95" s="7"/>
    </row>
    <row r="96" spans="1:9" x14ac:dyDescent="0.25">
      <c r="D96" s="7"/>
    </row>
    <row r="97" spans="4:4" x14ac:dyDescent="0.25">
      <c r="D97" s="7"/>
    </row>
    <row r="98" spans="4:4" x14ac:dyDescent="0.25">
      <c r="D98" s="7"/>
    </row>
    <row r="99" spans="4:4" x14ac:dyDescent="0.25">
      <c r="D99" s="7"/>
    </row>
    <row r="100" spans="4:4" x14ac:dyDescent="0.25">
      <c r="D100" s="7"/>
    </row>
    <row r="101" spans="4:4" x14ac:dyDescent="0.25">
      <c r="D101" s="7"/>
    </row>
    <row r="102" spans="4:4" x14ac:dyDescent="0.25">
      <c r="D102" s="7"/>
    </row>
    <row r="103" spans="4:4" x14ac:dyDescent="0.25">
      <c r="D103" s="7"/>
    </row>
    <row r="104" spans="4:4" x14ac:dyDescent="0.25">
      <c r="D104" s="7"/>
    </row>
    <row r="105" spans="4:4" x14ac:dyDescent="0.25">
      <c r="D105" s="7"/>
    </row>
    <row r="106" spans="4:4" x14ac:dyDescent="0.25">
      <c r="D106" s="7"/>
    </row>
    <row r="107" spans="4:4" x14ac:dyDescent="0.25">
      <c r="D107" s="7"/>
    </row>
    <row r="108" spans="4:4" x14ac:dyDescent="0.25">
      <c r="D108" s="7"/>
    </row>
    <row r="109" spans="4:4" x14ac:dyDescent="0.25">
      <c r="D109" s="7"/>
    </row>
    <row r="110" spans="4:4" x14ac:dyDescent="0.25">
      <c r="D110" s="7"/>
    </row>
    <row r="111" spans="4:4" x14ac:dyDescent="0.25">
      <c r="D111" s="7"/>
    </row>
    <row r="112" spans="4:4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7"/>
    </row>
    <row r="139" spans="4:4" x14ac:dyDescent="0.25">
      <c r="D139" s="7"/>
    </row>
    <row r="140" spans="4:4" x14ac:dyDescent="0.25">
      <c r="D140" s="7"/>
    </row>
    <row r="141" spans="4:4" x14ac:dyDescent="0.25">
      <c r="D141" s="7"/>
    </row>
    <row r="142" spans="4:4" x14ac:dyDescent="0.25">
      <c r="D142" s="7"/>
    </row>
    <row r="143" spans="4:4" x14ac:dyDescent="0.25">
      <c r="D143" s="7"/>
    </row>
    <row r="144" spans="4:4" x14ac:dyDescent="0.25">
      <c r="D144" s="7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7"/>
    </row>
    <row r="268" spans="4:4" x14ac:dyDescent="0.25">
      <c r="D268" s="7"/>
    </row>
    <row r="269" spans="4:4" x14ac:dyDescent="0.25">
      <c r="D269" s="7"/>
    </row>
    <row r="270" spans="4:4" x14ac:dyDescent="0.25">
      <c r="D270" s="7"/>
    </row>
    <row r="271" spans="4:4" x14ac:dyDescent="0.25">
      <c r="D271" s="7"/>
    </row>
    <row r="272" spans="4:4" x14ac:dyDescent="0.25">
      <c r="D272" s="7"/>
    </row>
    <row r="273" spans="4:4" x14ac:dyDescent="0.25">
      <c r="D273" s="7"/>
    </row>
    <row r="274" spans="4:4" x14ac:dyDescent="0.25">
      <c r="D274" s="7"/>
    </row>
    <row r="275" spans="4:4" x14ac:dyDescent="0.25">
      <c r="D275" s="7"/>
    </row>
    <row r="276" spans="4:4" x14ac:dyDescent="0.25">
      <c r="D276" s="7"/>
    </row>
    <row r="277" spans="4:4" x14ac:dyDescent="0.25">
      <c r="D277" s="7"/>
    </row>
    <row r="278" spans="4:4" x14ac:dyDescent="0.25">
      <c r="D278" s="7"/>
    </row>
    <row r="279" spans="4:4" x14ac:dyDescent="0.25">
      <c r="D279" s="7"/>
    </row>
    <row r="280" spans="4:4" x14ac:dyDescent="0.25">
      <c r="D280" s="7"/>
    </row>
    <row r="281" spans="4:4" x14ac:dyDescent="0.25">
      <c r="D281" s="7"/>
    </row>
    <row r="282" spans="4:4" x14ac:dyDescent="0.25">
      <c r="D282" s="7"/>
    </row>
    <row r="283" spans="4:4" x14ac:dyDescent="0.25">
      <c r="D283" s="7"/>
    </row>
    <row r="284" spans="4:4" x14ac:dyDescent="0.25">
      <c r="D284" s="7"/>
    </row>
    <row r="285" spans="4:4" x14ac:dyDescent="0.25">
      <c r="D285" s="7"/>
    </row>
    <row r="286" spans="4:4" x14ac:dyDescent="0.25">
      <c r="D286" s="7"/>
    </row>
    <row r="287" spans="4:4" x14ac:dyDescent="0.25">
      <c r="D287" s="7"/>
    </row>
    <row r="288" spans="4:4" x14ac:dyDescent="0.25">
      <c r="D288" s="7"/>
    </row>
    <row r="289" spans="4:4" x14ac:dyDescent="0.25">
      <c r="D289" s="7"/>
    </row>
    <row r="290" spans="4:4" x14ac:dyDescent="0.25">
      <c r="D290" s="7"/>
    </row>
    <row r="291" spans="4:4" x14ac:dyDescent="0.25">
      <c r="D291" s="7"/>
    </row>
    <row r="292" spans="4:4" x14ac:dyDescent="0.25">
      <c r="D292" s="7"/>
    </row>
    <row r="293" spans="4:4" x14ac:dyDescent="0.25">
      <c r="D293" s="7"/>
    </row>
    <row r="294" spans="4:4" x14ac:dyDescent="0.25">
      <c r="D294" s="7"/>
    </row>
    <row r="295" spans="4:4" x14ac:dyDescent="0.25">
      <c r="D295" s="7"/>
    </row>
    <row r="296" spans="4:4" x14ac:dyDescent="0.25">
      <c r="D296" s="7"/>
    </row>
    <row r="297" spans="4:4" x14ac:dyDescent="0.25">
      <c r="D297" s="7"/>
    </row>
    <row r="298" spans="4:4" x14ac:dyDescent="0.25">
      <c r="D298" s="7"/>
    </row>
    <row r="299" spans="4:4" x14ac:dyDescent="0.25">
      <c r="D299" s="7"/>
    </row>
    <row r="300" spans="4:4" x14ac:dyDescent="0.25">
      <c r="D300" s="7"/>
    </row>
    <row r="301" spans="4:4" x14ac:dyDescent="0.25">
      <c r="D301" s="7"/>
    </row>
    <row r="302" spans="4:4" x14ac:dyDescent="0.25">
      <c r="D302" s="7"/>
    </row>
    <row r="303" spans="4:4" x14ac:dyDescent="0.25">
      <c r="D303" s="7"/>
    </row>
    <row r="304" spans="4:4" x14ac:dyDescent="0.25">
      <c r="D304" s="7"/>
    </row>
    <row r="305" spans="4:4" x14ac:dyDescent="0.25">
      <c r="D305" s="7"/>
    </row>
    <row r="306" spans="4:4" x14ac:dyDescent="0.25">
      <c r="D306" s="7"/>
    </row>
    <row r="307" spans="4:4" x14ac:dyDescent="0.25">
      <c r="D307" s="7"/>
    </row>
    <row r="308" spans="4:4" x14ac:dyDescent="0.25">
      <c r="D308" s="7"/>
    </row>
    <row r="309" spans="4:4" x14ac:dyDescent="0.25">
      <c r="D309" s="7"/>
    </row>
    <row r="310" spans="4:4" x14ac:dyDescent="0.25">
      <c r="D310" s="7"/>
    </row>
    <row r="311" spans="4:4" x14ac:dyDescent="0.25">
      <c r="D311" s="7"/>
    </row>
    <row r="312" spans="4:4" x14ac:dyDescent="0.25">
      <c r="D312" s="7"/>
    </row>
    <row r="313" spans="4:4" x14ac:dyDescent="0.25">
      <c r="D313" s="7"/>
    </row>
    <row r="314" spans="4:4" x14ac:dyDescent="0.25">
      <c r="D314" s="7"/>
    </row>
    <row r="315" spans="4:4" x14ac:dyDescent="0.25">
      <c r="D315" s="7"/>
    </row>
    <row r="316" spans="4:4" x14ac:dyDescent="0.25">
      <c r="D316" s="7"/>
    </row>
    <row r="317" spans="4:4" x14ac:dyDescent="0.25">
      <c r="D317" s="7"/>
    </row>
    <row r="318" spans="4:4" x14ac:dyDescent="0.25">
      <c r="D318" s="7"/>
    </row>
    <row r="319" spans="4:4" x14ac:dyDescent="0.25">
      <c r="D319" s="7"/>
    </row>
    <row r="320" spans="4:4" x14ac:dyDescent="0.25">
      <c r="D320" s="7"/>
    </row>
    <row r="321" spans="4:4" x14ac:dyDescent="0.25">
      <c r="D321" s="7"/>
    </row>
    <row r="322" spans="4:4" x14ac:dyDescent="0.25">
      <c r="D322" s="7"/>
    </row>
    <row r="323" spans="4:4" x14ac:dyDescent="0.25">
      <c r="D323" s="7"/>
    </row>
    <row r="324" spans="4:4" x14ac:dyDescent="0.25">
      <c r="D324" s="7"/>
    </row>
    <row r="325" spans="4:4" x14ac:dyDescent="0.25">
      <c r="D325" s="7"/>
    </row>
    <row r="326" spans="4:4" x14ac:dyDescent="0.25">
      <c r="D326" s="7"/>
    </row>
    <row r="327" spans="4:4" x14ac:dyDescent="0.25">
      <c r="D327" s="7"/>
    </row>
    <row r="328" spans="4:4" x14ac:dyDescent="0.25">
      <c r="D328" s="7"/>
    </row>
    <row r="329" spans="4:4" x14ac:dyDescent="0.25">
      <c r="D329" s="7"/>
    </row>
    <row r="330" spans="4:4" x14ac:dyDescent="0.25">
      <c r="D330" s="7"/>
    </row>
    <row r="331" spans="4:4" x14ac:dyDescent="0.25">
      <c r="D331" s="7"/>
    </row>
    <row r="332" spans="4:4" x14ac:dyDescent="0.25">
      <c r="D332" s="7"/>
    </row>
    <row r="333" spans="4:4" x14ac:dyDescent="0.25">
      <c r="D333" s="7"/>
    </row>
    <row r="334" spans="4:4" x14ac:dyDescent="0.25">
      <c r="D334" s="7"/>
    </row>
    <row r="335" spans="4:4" x14ac:dyDescent="0.25">
      <c r="D335" s="7"/>
    </row>
    <row r="336" spans="4:4" x14ac:dyDescent="0.25">
      <c r="D336" s="7"/>
    </row>
    <row r="337" spans="4:4" x14ac:dyDescent="0.25">
      <c r="D337" s="7"/>
    </row>
    <row r="338" spans="4:4" x14ac:dyDescent="0.25">
      <c r="D338" s="7"/>
    </row>
    <row r="339" spans="4:4" x14ac:dyDescent="0.25">
      <c r="D339" s="7"/>
    </row>
    <row r="340" spans="4:4" x14ac:dyDescent="0.25">
      <c r="D340" s="7"/>
    </row>
    <row r="341" spans="4:4" x14ac:dyDescent="0.25">
      <c r="D341" s="7"/>
    </row>
    <row r="342" spans="4:4" x14ac:dyDescent="0.25">
      <c r="D342" s="7"/>
    </row>
    <row r="343" spans="4:4" x14ac:dyDescent="0.25">
      <c r="D343" s="7"/>
    </row>
    <row r="344" spans="4:4" x14ac:dyDescent="0.25">
      <c r="D344" s="7"/>
    </row>
    <row r="345" spans="4:4" x14ac:dyDescent="0.25">
      <c r="D345" s="7"/>
    </row>
    <row r="346" spans="4:4" x14ac:dyDescent="0.25">
      <c r="D346" s="7"/>
    </row>
    <row r="347" spans="4:4" x14ac:dyDescent="0.25">
      <c r="D347" s="7"/>
    </row>
    <row r="348" spans="4:4" x14ac:dyDescent="0.25">
      <c r="D348" s="7"/>
    </row>
    <row r="349" spans="4:4" x14ac:dyDescent="0.25">
      <c r="D349" s="7"/>
    </row>
    <row r="350" spans="4:4" x14ac:dyDescent="0.25">
      <c r="D350" s="7"/>
    </row>
    <row r="351" spans="4:4" x14ac:dyDescent="0.25">
      <c r="D351" s="7"/>
    </row>
    <row r="352" spans="4:4" x14ac:dyDescent="0.25">
      <c r="D352" s="7"/>
    </row>
    <row r="353" spans="4:4" x14ac:dyDescent="0.25">
      <c r="D353" s="7"/>
    </row>
    <row r="354" spans="4:4" x14ac:dyDescent="0.25">
      <c r="D354" s="7"/>
    </row>
    <row r="355" spans="4:4" x14ac:dyDescent="0.25">
      <c r="D355" s="7"/>
    </row>
    <row r="356" spans="4:4" x14ac:dyDescent="0.25">
      <c r="D356" s="7"/>
    </row>
    <row r="357" spans="4:4" x14ac:dyDescent="0.25">
      <c r="D357" s="7"/>
    </row>
    <row r="358" spans="4:4" x14ac:dyDescent="0.25">
      <c r="D358" s="7"/>
    </row>
    <row r="359" spans="4:4" x14ac:dyDescent="0.25">
      <c r="D359" s="7"/>
    </row>
    <row r="360" spans="4:4" x14ac:dyDescent="0.25">
      <c r="D360" s="7"/>
    </row>
    <row r="361" spans="4:4" x14ac:dyDescent="0.25">
      <c r="D361" s="7"/>
    </row>
    <row r="362" spans="4:4" x14ac:dyDescent="0.25">
      <c r="D362" s="7"/>
    </row>
    <row r="363" spans="4:4" x14ac:dyDescent="0.25">
      <c r="D363" s="7"/>
    </row>
    <row r="364" spans="4:4" x14ac:dyDescent="0.25">
      <c r="D364" s="7"/>
    </row>
    <row r="365" spans="4:4" x14ac:dyDescent="0.25">
      <c r="D365" s="7"/>
    </row>
    <row r="366" spans="4:4" x14ac:dyDescent="0.25">
      <c r="D366" s="7"/>
    </row>
    <row r="367" spans="4:4" x14ac:dyDescent="0.25">
      <c r="D367" s="7"/>
    </row>
    <row r="368" spans="4:4" x14ac:dyDescent="0.25">
      <c r="D368" s="7"/>
    </row>
    <row r="369" spans="4:4" x14ac:dyDescent="0.25">
      <c r="D369" s="7"/>
    </row>
    <row r="370" spans="4:4" x14ac:dyDescent="0.25">
      <c r="D370" s="7"/>
    </row>
    <row r="371" spans="4:4" x14ac:dyDescent="0.25">
      <c r="D371" s="7"/>
    </row>
    <row r="372" spans="4:4" x14ac:dyDescent="0.25">
      <c r="D372" s="7"/>
    </row>
    <row r="373" spans="4:4" x14ac:dyDescent="0.25">
      <c r="D373" s="7"/>
    </row>
    <row r="374" spans="4:4" x14ac:dyDescent="0.25">
      <c r="D374" s="7"/>
    </row>
    <row r="375" spans="4:4" x14ac:dyDescent="0.25">
      <c r="D375" s="7"/>
    </row>
    <row r="376" spans="4:4" x14ac:dyDescent="0.25">
      <c r="D376" s="7"/>
    </row>
    <row r="377" spans="4:4" x14ac:dyDescent="0.25">
      <c r="D377" s="7"/>
    </row>
    <row r="378" spans="4:4" x14ac:dyDescent="0.25">
      <c r="D378" s="7"/>
    </row>
    <row r="379" spans="4:4" x14ac:dyDescent="0.25">
      <c r="D379" s="7"/>
    </row>
    <row r="380" spans="4:4" x14ac:dyDescent="0.25">
      <c r="D380" s="7"/>
    </row>
    <row r="381" spans="4:4" x14ac:dyDescent="0.25">
      <c r="D381" s="7"/>
    </row>
    <row r="382" spans="4:4" x14ac:dyDescent="0.25">
      <c r="D382" s="7"/>
    </row>
    <row r="383" spans="4:4" x14ac:dyDescent="0.25">
      <c r="D383" s="7"/>
    </row>
    <row r="384" spans="4:4" x14ac:dyDescent="0.25">
      <c r="D384" s="7"/>
    </row>
    <row r="385" spans="4:4" x14ac:dyDescent="0.25">
      <c r="D385" s="7"/>
    </row>
    <row r="386" spans="4:4" x14ac:dyDescent="0.25">
      <c r="D386" s="7"/>
    </row>
    <row r="387" spans="4:4" x14ac:dyDescent="0.25">
      <c r="D387" s="7"/>
    </row>
    <row r="388" spans="4:4" x14ac:dyDescent="0.25">
      <c r="D388" s="7"/>
    </row>
    <row r="389" spans="4:4" x14ac:dyDescent="0.25">
      <c r="D389" s="7"/>
    </row>
    <row r="390" spans="4:4" x14ac:dyDescent="0.25">
      <c r="D390" s="7"/>
    </row>
    <row r="391" spans="4:4" x14ac:dyDescent="0.25">
      <c r="D391" s="7"/>
    </row>
    <row r="392" spans="4:4" x14ac:dyDescent="0.25">
      <c r="D392" s="7"/>
    </row>
    <row r="393" spans="4:4" x14ac:dyDescent="0.25">
      <c r="D393" s="7"/>
    </row>
    <row r="394" spans="4:4" x14ac:dyDescent="0.25">
      <c r="D394" s="7"/>
    </row>
    <row r="395" spans="4:4" x14ac:dyDescent="0.25">
      <c r="D395" s="7"/>
    </row>
    <row r="396" spans="4:4" x14ac:dyDescent="0.25">
      <c r="D396" s="7"/>
    </row>
    <row r="397" spans="4:4" x14ac:dyDescent="0.25">
      <c r="D397" s="7"/>
    </row>
    <row r="398" spans="4:4" x14ac:dyDescent="0.25">
      <c r="D398" s="7"/>
    </row>
    <row r="399" spans="4:4" x14ac:dyDescent="0.25">
      <c r="D399" s="7"/>
    </row>
    <row r="400" spans="4:4" x14ac:dyDescent="0.25">
      <c r="D400" s="7"/>
    </row>
    <row r="401" spans="4:4" x14ac:dyDescent="0.25">
      <c r="D401" s="7"/>
    </row>
    <row r="402" spans="4:4" x14ac:dyDescent="0.25">
      <c r="D402" s="7"/>
    </row>
    <row r="403" spans="4:4" x14ac:dyDescent="0.25">
      <c r="D403" s="7"/>
    </row>
    <row r="404" spans="4:4" x14ac:dyDescent="0.25">
      <c r="D404" s="7"/>
    </row>
    <row r="405" spans="4:4" x14ac:dyDescent="0.25">
      <c r="D405" s="7"/>
    </row>
    <row r="406" spans="4:4" x14ac:dyDescent="0.25">
      <c r="D406" s="7"/>
    </row>
    <row r="407" spans="4:4" x14ac:dyDescent="0.25">
      <c r="D407" s="7"/>
    </row>
    <row r="408" spans="4:4" x14ac:dyDescent="0.25">
      <c r="D408" s="7"/>
    </row>
    <row r="409" spans="4:4" x14ac:dyDescent="0.25">
      <c r="D409" s="7"/>
    </row>
    <row r="410" spans="4:4" x14ac:dyDescent="0.25">
      <c r="D410" s="7"/>
    </row>
    <row r="411" spans="4:4" x14ac:dyDescent="0.25">
      <c r="D411" s="7"/>
    </row>
    <row r="412" spans="4:4" x14ac:dyDescent="0.25">
      <c r="D412" s="7"/>
    </row>
    <row r="413" spans="4:4" x14ac:dyDescent="0.25">
      <c r="D413" s="7"/>
    </row>
    <row r="414" spans="4:4" x14ac:dyDescent="0.25">
      <c r="D414" s="7"/>
    </row>
    <row r="415" spans="4:4" x14ac:dyDescent="0.25">
      <c r="D415" s="7"/>
    </row>
    <row r="416" spans="4:4" x14ac:dyDescent="0.25">
      <c r="D416" s="7"/>
    </row>
    <row r="417" spans="4:4" x14ac:dyDescent="0.25">
      <c r="D417" s="7"/>
    </row>
    <row r="418" spans="4:4" x14ac:dyDescent="0.25">
      <c r="D418" s="7"/>
    </row>
    <row r="419" spans="4:4" x14ac:dyDescent="0.25">
      <c r="D419" s="7"/>
    </row>
    <row r="420" spans="4:4" x14ac:dyDescent="0.25">
      <c r="D420" s="7"/>
    </row>
    <row r="421" spans="4:4" x14ac:dyDescent="0.25">
      <c r="D421" s="7"/>
    </row>
    <row r="422" spans="4:4" x14ac:dyDescent="0.25">
      <c r="D422" s="7"/>
    </row>
    <row r="423" spans="4:4" x14ac:dyDescent="0.25">
      <c r="D423" s="7"/>
    </row>
    <row r="424" spans="4:4" x14ac:dyDescent="0.25">
      <c r="D424" s="7"/>
    </row>
    <row r="425" spans="4:4" x14ac:dyDescent="0.25">
      <c r="D425" s="7"/>
    </row>
    <row r="426" spans="4:4" x14ac:dyDescent="0.25">
      <c r="D426" s="7"/>
    </row>
    <row r="427" spans="4:4" x14ac:dyDescent="0.25">
      <c r="D427" s="7"/>
    </row>
    <row r="428" spans="4:4" x14ac:dyDescent="0.25">
      <c r="D428" s="7"/>
    </row>
    <row r="429" spans="4:4" x14ac:dyDescent="0.25">
      <c r="D429" s="7"/>
    </row>
    <row r="430" spans="4:4" x14ac:dyDescent="0.25">
      <c r="D430" s="7"/>
    </row>
    <row r="431" spans="4:4" x14ac:dyDescent="0.25">
      <c r="D431" s="7"/>
    </row>
    <row r="432" spans="4:4" x14ac:dyDescent="0.25">
      <c r="D432" s="7"/>
    </row>
    <row r="433" spans="4:4" x14ac:dyDescent="0.25">
      <c r="D433" s="7"/>
    </row>
    <row r="434" spans="4:4" x14ac:dyDescent="0.25">
      <c r="D434" s="7"/>
    </row>
    <row r="435" spans="4:4" x14ac:dyDescent="0.25">
      <c r="D435" s="7"/>
    </row>
    <row r="436" spans="4:4" x14ac:dyDescent="0.25">
      <c r="D436" s="7"/>
    </row>
    <row r="437" spans="4:4" x14ac:dyDescent="0.25">
      <c r="D437" s="7"/>
    </row>
    <row r="438" spans="4:4" x14ac:dyDescent="0.25">
      <c r="D438" s="7"/>
    </row>
    <row r="439" spans="4:4" x14ac:dyDescent="0.25">
      <c r="D439" s="7"/>
    </row>
    <row r="440" spans="4:4" x14ac:dyDescent="0.25">
      <c r="D440" s="7"/>
    </row>
    <row r="441" spans="4:4" x14ac:dyDescent="0.25">
      <c r="D441" s="7"/>
    </row>
    <row r="442" spans="4:4" x14ac:dyDescent="0.25">
      <c r="D442" s="7"/>
    </row>
    <row r="443" spans="4:4" x14ac:dyDescent="0.25">
      <c r="D443" s="7"/>
    </row>
    <row r="444" spans="4:4" x14ac:dyDescent="0.25">
      <c r="D444" s="7"/>
    </row>
    <row r="445" spans="4:4" x14ac:dyDescent="0.25">
      <c r="D445" s="7"/>
    </row>
    <row r="446" spans="4:4" x14ac:dyDescent="0.25">
      <c r="D446" s="7"/>
    </row>
    <row r="447" spans="4:4" x14ac:dyDescent="0.25">
      <c r="D447" s="7"/>
    </row>
    <row r="448" spans="4:4" x14ac:dyDescent="0.25">
      <c r="D448" s="7"/>
    </row>
    <row r="449" spans="4:4" x14ac:dyDescent="0.25">
      <c r="D449" s="7"/>
    </row>
    <row r="450" spans="4:4" x14ac:dyDescent="0.25">
      <c r="D450" s="7"/>
    </row>
    <row r="451" spans="4:4" x14ac:dyDescent="0.25">
      <c r="D451" s="7"/>
    </row>
    <row r="452" spans="4:4" x14ac:dyDescent="0.25">
      <c r="D452" s="7"/>
    </row>
    <row r="453" spans="4:4" x14ac:dyDescent="0.25">
      <c r="D453" s="7"/>
    </row>
    <row r="454" spans="4:4" x14ac:dyDescent="0.25">
      <c r="D454" s="7"/>
    </row>
    <row r="455" spans="4:4" x14ac:dyDescent="0.25">
      <c r="D455" s="7"/>
    </row>
    <row r="456" spans="4:4" x14ac:dyDescent="0.25">
      <c r="D456" s="7"/>
    </row>
    <row r="457" spans="4:4" x14ac:dyDescent="0.25">
      <c r="D457" s="7"/>
    </row>
    <row r="458" spans="4:4" x14ac:dyDescent="0.25">
      <c r="D458" s="7"/>
    </row>
    <row r="459" spans="4:4" x14ac:dyDescent="0.25">
      <c r="D459" s="7"/>
    </row>
    <row r="460" spans="4:4" x14ac:dyDescent="0.25">
      <c r="D460" s="7"/>
    </row>
    <row r="461" spans="4:4" x14ac:dyDescent="0.25">
      <c r="D461" s="7"/>
    </row>
    <row r="462" spans="4:4" x14ac:dyDescent="0.25">
      <c r="D462" s="7"/>
    </row>
    <row r="463" spans="4:4" x14ac:dyDescent="0.25">
      <c r="D463" s="7"/>
    </row>
    <row r="464" spans="4:4" x14ac:dyDescent="0.25">
      <c r="D464" s="7"/>
    </row>
    <row r="465" spans="4:4" x14ac:dyDescent="0.25">
      <c r="D465" s="7"/>
    </row>
    <row r="466" spans="4:4" x14ac:dyDescent="0.25">
      <c r="D466" s="7"/>
    </row>
    <row r="467" spans="4:4" x14ac:dyDescent="0.25">
      <c r="D467" s="7"/>
    </row>
    <row r="468" spans="4:4" x14ac:dyDescent="0.25">
      <c r="D468" s="7"/>
    </row>
    <row r="469" spans="4:4" x14ac:dyDescent="0.25">
      <c r="D469" s="7"/>
    </row>
    <row r="470" spans="4:4" x14ac:dyDescent="0.25">
      <c r="D470" s="7"/>
    </row>
    <row r="471" spans="4:4" x14ac:dyDescent="0.25">
      <c r="D471" s="7"/>
    </row>
    <row r="472" spans="4:4" x14ac:dyDescent="0.25">
      <c r="D472" s="7"/>
    </row>
    <row r="473" spans="4:4" x14ac:dyDescent="0.25">
      <c r="D473" s="7"/>
    </row>
    <row r="474" spans="4:4" x14ac:dyDescent="0.25">
      <c r="D474" s="7"/>
    </row>
    <row r="475" spans="4:4" x14ac:dyDescent="0.25">
      <c r="D475" s="7"/>
    </row>
    <row r="476" spans="4:4" x14ac:dyDescent="0.25">
      <c r="D476" s="7"/>
    </row>
    <row r="477" spans="4:4" x14ac:dyDescent="0.25">
      <c r="D477" s="7"/>
    </row>
    <row r="478" spans="4:4" x14ac:dyDescent="0.25">
      <c r="D478" s="7"/>
    </row>
    <row r="479" spans="4:4" x14ac:dyDescent="0.25">
      <c r="D479" s="7"/>
    </row>
    <row r="480" spans="4:4" x14ac:dyDescent="0.25">
      <c r="D480" s="7"/>
    </row>
    <row r="481" spans="4:4" x14ac:dyDescent="0.25">
      <c r="D481" s="7"/>
    </row>
    <row r="482" spans="4:4" x14ac:dyDescent="0.25">
      <c r="D482" s="7"/>
    </row>
    <row r="483" spans="4:4" x14ac:dyDescent="0.25">
      <c r="D483" s="7"/>
    </row>
    <row r="484" spans="4:4" x14ac:dyDescent="0.25">
      <c r="D484" s="7"/>
    </row>
    <row r="485" spans="4:4" x14ac:dyDescent="0.25">
      <c r="D485" s="7"/>
    </row>
    <row r="486" spans="4:4" x14ac:dyDescent="0.25">
      <c r="D486" s="7"/>
    </row>
    <row r="487" spans="4:4" x14ac:dyDescent="0.25">
      <c r="D487" s="7"/>
    </row>
    <row r="488" spans="4:4" x14ac:dyDescent="0.25">
      <c r="D488" s="7"/>
    </row>
    <row r="489" spans="4:4" x14ac:dyDescent="0.25">
      <c r="D489" s="7"/>
    </row>
    <row r="490" spans="4:4" x14ac:dyDescent="0.25">
      <c r="D490" s="7"/>
    </row>
    <row r="491" spans="4:4" x14ac:dyDescent="0.25">
      <c r="D491" s="7"/>
    </row>
    <row r="492" spans="4:4" x14ac:dyDescent="0.25">
      <c r="D492" s="7"/>
    </row>
    <row r="493" spans="4:4" x14ac:dyDescent="0.25">
      <c r="D493" s="7"/>
    </row>
    <row r="494" spans="4:4" x14ac:dyDescent="0.25">
      <c r="D494" s="7"/>
    </row>
    <row r="495" spans="4:4" x14ac:dyDescent="0.25">
      <c r="D495" s="7"/>
    </row>
    <row r="496" spans="4:4" x14ac:dyDescent="0.25">
      <c r="D496" s="7"/>
    </row>
    <row r="497" spans="4:4" x14ac:dyDescent="0.25">
      <c r="D497" s="7"/>
    </row>
    <row r="498" spans="4:4" x14ac:dyDescent="0.25">
      <c r="D498" s="7"/>
    </row>
    <row r="499" spans="4:4" x14ac:dyDescent="0.25">
      <c r="D499" s="7"/>
    </row>
    <row r="500" spans="4:4" x14ac:dyDescent="0.25">
      <c r="D500" s="7"/>
    </row>
    <row r="501" spans="4:4" x14ac:dyDescent="0.25">
      <c r="D501" s="7"/>
    </row>
    <row r="502" spans="4:4" x14ac:dyDescent="0.25">
      <c r="D502" s="7"/>
    </row>
    <row r="503" spans="4:4" x14ac:dyDescent="0.25">
      <c r="D503" s="7"/>
    </row>
    <row r="504" spans="4:4" x14ac:dyDescent="0.25">
      <c r="D504" s="7"/>
    </row>
    <row r="505" spans="4:4" x14ac:dyDescent="0.25">
      <c r="D505" s="7"/>
    </row>
    <row r="506" spans="4:4" x14ac:dyDescent="0.25">
      <c r="D506" s="7"/>
    </row>
    <row r="507" spans="4:4" x14ac:dyDescent="0.25">
      <c r="D507" s="7"/>
    </row>
    <row r="508" spans="4:4" x14ac:dyDescent="0.25">
      <c r="D508" s="7"/>
    </row>
    <row r="509" spans="4:4" x14ac:dyDescent="0.25">
      <c r="D509" s="7"/>
    </row>
    <row r="510" spans="4:4" x14ac:dyDescent="0.25">
      <c r="D510" s="7"/>
    </row>
    <row r="511" spans="4:4" x14ac:dyDescent="0.25">
      <c r="D511" s="7"/>
    </row>
    <row r="512" spans="4:4" x14ac:dyDescent="0.25">
      <c r="D512" s="7"/>
    </row>
    <row r="513" spans="4:4" x14ac:dyDescent="0.25">
      <c r="D513" s="7"/>
    </row>
    <row r="514" spans="4:4" x14ac:dyDescent="0.25">
      <c r="D514" s="7"/>
    </row>
    <row r="515" spans="4:4" x14ac:dyDescent="0.25">
      <c r="D515" s="7"/>
    </row>
    <row r="516" spans="4:4" x14ac:dyDescent="0.25">
      <c r="D516" s="7"/>
    </row>
    <row r="517" spans="4:4" x14ac:dyDescent="0.25">
      <c r="D517" s="7"/>
    </row>
    <row r="518" spans="4:4" x14ac:dyDescent="0.25">
      <c r="D518" s="7"/>
    </row>
    <row r="519" spans="4:4" x14ac:dyDescent="0.25">
      <c r="D519" s="7"/>
    </row>
    <row r="520" spans="4:4" x14ac:dyDescent="0.25">
      <c r="D520" s="7"/>
    </row>
    <row r="521" spans="4:4" x14ac:dyDescent="0.25">
      <c r="D521" s="7"/>
    </row>
    <row r="522" spans="4:4" x14ac:dyDescent="0.25">
      <c r="D522" s="7"/>
    </row>
    <row r="523" spans="4:4" x14ac:dyDescent="0.25">
      <c r="D523" s="7"/>
    </row>
    <row r="524" spans="4:4" x14ac:dyDescent="0.25">
      <c r="D524" s="7"/>
    </row>
    <row r="525" spans="4:4" x14ac:dyDescent="0.25">
      <c r="D525" s="7"/>
    </row>
    <row r="526" spans="4:4" x14ac:dyDescent="0.25">
      <c r="D526" s="7"/>
    </row>
    <row r="527" spans="4:4" x14ac:dyDescent="0.25">
      <c r="D527" s="7"/>
    </row>
    <row r="528" spans="4:4" x14ac:dyDescent="0.25">
      <c r="D528" s="7"/>
    </row>
    <row r="529" spans="4:4" x14ac:dyDescent="0.25">
      <c r="D529" s="7"/>
    </row>
    <row r="530" spans="4:4" x14ac:dyDescent="0.25">
      <c r="D530" s="7"/>
    </row>
    <row r="531" spans="4:4" x14ac:dyDescent="0.25">
      <c r="D531" s="7"/>
    </row>
    <row r="532" spans="4:4" x14ac:dyDescent="0.25">
      <c r="D532" s="7"/>
    </row>
    <row r="533" spans="4:4" x14ac:dyDescent="0.25">
      <c r="D533" s="7"/>
    </row>
    <row r="534" spans="4:4" x14ac:dyDescent="0.25">
      <c r="D534" s="7"/>
    </row>
    <row r="535" spans="4:4" x14ac:dyDescent="0.25">
      <c r="D535" s="7"/>
    </row>
    <row r="536" spans="4:4" x14ac:dyDescent="0.25">
      <c r="D536" s="7"/>
    </row>
    <row r="537" spans="4:4" x14ac:dyDescent="0.25">
      <c r="D537" s="7"/>
    </row>
    <row r="538" spans="4:4" x14ac:dyDescent="0.25">
      <c r="D538" s="7"/>
    </row>
    <row r="539" spans="4:4" x14ac:dyDescent="0.25">
      <c r="D539" s="7"/>
    </row>
    <row r="540" spans="4:4" x14ac:dyDescent="0.25">
      <c r="D540" s="7"/>
    </row>
    <row r="541" spans="4:4" x14ac:dyDescent="0.25">
      <c r="D541" s="7"/>
    </row>
    <row r="542" spans="4:4" x14ac:dyDescent="0.25">
      <c r="D542" s="7"/>
    </row>
    <row r="543" spans="4:4" x14ac:dyDescent="0.25">
      <c r="D543" s="7"/>
    </row>
    <row r="544" spans="4:4" x14ac:dyDescent="0.25">
      <c r="D544" s="7"/>
    </row>
    <row r="545" spans="4:4" x14ac:dyDescent="0.25">
      <c r="D545" s="7"/>
    </row>
    <row r="546" spans="4:4" x14ac:dyDescent="0.25">
      <c r="D546" s="7"/>
    </row>
    <row r="547" spans="4:4" x14ac:dyDescent="0.25">
      <c r="D547" s="7"/>
    </row>
    <row r="548" spans="4:4" x14ac:dyDescent="0.25">
      <c r="D548" s="7"/>
    </row>
    <row r="549" spans="4:4" x14ac:dyDescent="0.25">
      <c r="D549" s="7"/>
    </row>
    <row r="550" spans="4:4" x14ac:dyDescent="0.25">
      <c r="D550" s="7"/>
    </row>
    <row r="551" spans="4:4" x14ac:dyDescent="0.25">
      <c r="D551" s="7"/>
    </row>
    <row r="552" spans="4:4" x14ac:dyDescent="0.25">
      <c r="D552" s="7"/>
    </row>
    <row r="553" spans="4:4" x14ac:dyDescent="0.25">
      <c r="D553" s="7"/>
    </row>
    <row r="554" spans="4:4" x14ac:dyDescent="0.25">
      <c r="D554" s="7"/>
    </row>
    <row r="555" spans="4:4" x14ac:dyDescent="0.25">
      <c r="D555" s="7"/>
    </row>
    <row r="556" spans="4:4" x14ac:dyDescent="0.25">
      <c r="D556" s="7"/>
    </row>
    <row r="557" spans="4:4" x14ac:dyDescent="0.25">
      <c r="D557" s="7"/>
    </row>
    <row r="558" spans="4:4" x14ac:dyDescent="0.25">
      <c r="D558" s="7"/>
    </row>
    <row r="559" spans="4:4" x14ac:dyDescent="0.25">
      <c r="D559" s="7"/>
    </row>
    <row r="560" spans="4:4" x14ac:dyDescent="0.25">
      <c r="D560" s="7"/>
    </row>
    <row r="561" spans="4:4" x14ac:dyDescent="0.25">
      <c r="D561" s="7"/>
    </row>
    <row r="562" spans="4:4" x14ac:dyDescent="0.25">
      <c r="D562" s="7"/>
    </row>
    <row r="563" spans="4:4" x14ac:dyDescent="0.25">
      <c r="D563" s="7"/>
    </row>
    <row r="564" spans="4:4" x14ac:dyDescent="0.25">
      <c r="D564" s="7"/>
    </row>
    <row r="565" spans="4:4" x14ac:dyDescent="0.25">
      <c r="D565" s="7"/>
    </row>
    <row r="566" spans="4:4" x14ac:dyDescent="0.25">
      <c r="D566" s="7"/>
    </row>
    <row r="567" spans="4:4" x14ac:dyDescent="0.25">
      <c r="D567" s="7"/>
    </row>
    <row r="568" spans="4:4" x14ac:dyDescent="0.25">
      <c r="D568" s="7"/>
    </row>
    <row r="569" spans="4:4" x14ac:dyDescent="0.25">
      <c r="D569" s="7"/>
    </row>
    <row r="570" spans="4:4" x14ac:dyDescent="0.25">
      <c r="D570" s="7"/>
    </row>
    <row r="571" spans="4:4" x14ac:dyDescent="0.25">
      <c r="D571" s="7"/>
    </row>
    <row r="572" spans="4:4" x14ac:dyDescent="0.25">
      <c r="D572" s="7"/>
    </row>
    <row r="573" spans="4:4" x14ac:dyDescent="0.25">
      <c r="D573" s="7"/>
    </row>
    <row r="574" spans="4:4" x14ac:dyDescent="0.25">
      <c r="D574" s="7"/>
    </row>
    <row r="575" spans="4:4" x14ac:dyDescent="0.25">
      <c r="D575" s="7"/>
    </row>
    <row r="576" spans="4:4" x14ac:dyDescent="0.25">
      <c r="D576" s="7"/>
    </row>
    <row r="577" spans="4:4" x14ac:dyDescent="0.25">
      <c r="D577" s="7"/>
    </row>
    <row r="578" spans="4:4" x14ac:dyDescent="0.25">
      <c r="D578" s="7"/>
    </row>
    <row r="579" spans="4:4" x14ac:dyDescent="0.25">
      <c r="D579" s="7"/>
    </row>
    <row r="580" spans="4:4" x14ac:dyDescent="0.25">
      <c r="D580" s="7"/>
    </row>
    <row r="581" spans="4:4" x14ac:dyDescent="0.25">
      <c r="D581" s="7"/>
    </row>
    <row r="582" spans="4:4" x14ac:dyDescent="0.25">
      <c r="D582" s="7"/>
    </row>
    <row r="583" spans="4:4" x14ac:dyDescent="0.25">
      <c r="D583" s="7"/>
    </row>
    <row r="584" spans="4:4" x14ac:dyDescent="0.25">
      <c r="D584" s="7"/>
    </row>
    <row r="585" spans="4:4" x14ac:dyDescent="0.25">
      <c r="D585" s="7"/>
    </row>
    <row r="586" spans="4:4" x14ac:dyDescent="0.25">
      <c r="D586" s="7"/>
    </row>
    <row r="587" spans="4:4" x14ac:dyDescent="0.25">
      <c r="D587" s="7"/>
    </row>
    <row r="588" spans="4:4" x14ac:dyDescent="0.25">
      <c r="D588" s="7"/>
    </row>
    <row r="589" spans="4:4" x14ac:dyDescent="0.25">
      <c r="D589" s="7"/>
    </row>
    <row r="590" spans="4:4" x14ac:dyDescent="0.25">
      <c r="D590" s="7"/>
    </row>
    <row r="591" spans="4:4" x14ac:dyDescent="0.25">
      <c r="D591" s="7"/>
    </row>
    <row r="592" spans="4:4" x14ac:dyDescent="0.25">
      <c r="D592" s="7"/>
    </row>
    <row r="593" spans="4:4" x14ac:dyDescent="0.25">
      <c r="D593" s="7"/>
    </row>
    <row r="594" spans="4:4" x14ac:dyDescent="0.25">
      <c r="D594" s="7"/>
    </row>
    <row r="595" spans="4:4" x14ac:dyDescent="0.25">
      <c r="D595" s="7"/>
    </row>
    <row r="596" spans="4:4" x14ac:dyDescent="0.25">
      <c r="D596" s="7"/>
    </row>
    <row r="597" spans="4:4" x14ac:dyDescent="0.25">
      <c r="D597" s="7"/>
    </row>
    <row r="598" spans="4:4" x14ac:dyDescent="0.25">
      <c r="D598" s="7"/>
    </row>
    <row r="599" spans="4:4" x14ac:dyDescent="0.25">
      <c r="D599" s="7"/>
    </row>
    <row r="600" spans="4:4" x14ac:dyDescent="0.25">
      <c r="D600" s="7"/>
    </row>
    <row r="601" spans="4:4" x14ac:dyDescent="0.25">
      <c r="D601" s="7"/>
    </row>
    <row r="602" spans="4:4" x14ac:dyDescent="0.25">
      <c r="D602" s="7"/>
    </row>
    <row r="603" spans="4:4" x14ac:dyDescent="0.25">
      <c r="D603" s="7"/>
    </row>
    <row r="604" spans="4:4" x14ac:dyDescent="0.25">
      <c r="D604" s="7"/>
    </row>
    <row r="605" spans="4:4" x14ac:dyDescent="0.25">
      <c r="D605" s="7"/>
    </row>
    <row r="606" spans="4:4" x14ac:dyDescent="0.25">
      <c r="D606" s="7"/>
    </row>
    <row r="607" spans="4:4" x14ac:dyDescent="0.25">
      <c r="D607" s="7"/>
    </row>
    <row r="608" spans="4:4" x14ac:dyDescent="0.25">
      <c r="D608" s="7"/>
    </row>
    <row r="609" spans="4:4" x14ac:dyDescent="0.25">
      <c r="D609" s="7"/>
    </row>
    <row r="610" spans="4:4" x14ac:dyDescent="0.25">
      <c r="D610" s="7"/>
    </row>
    <row r="611" spans="4:4" x14ac:dyDescent="0.25">
      <c r="D611" s="7"/>
    </row>
    <row r="612" spans="4:4" x14ac:dyDescent="0.25">
      <c r="D612" s="7"/>
    </row>
    <row r="613" spans="4:4" x14ac:dyDescent="0.25">
      <c r="D613" s="7"/>
    </row>
    <row r="614" spans="4:4" x14ac:dyDescent="0.25">
      <c r="D614" s="7"/>
    </row>
    <row r="615" spans="4:4" x14ac:dyDescent="0.25">
      <c r="D615" s="7"/>
    </row>
    <row r="616" spans="4:4" x14ac:dyDescent="0.25">
      <c r="D616" s="7"/>
    </row>
    <row r="617" spans="4:4" x14ac:dyDescent="0.25">
      <c r="D617" s="7"/>
    </row>
    <row r="618" spans="4:4" x14ac:dyDescent="0.25">
      <c r="D618" s="7"/>
    </row>
    <row r="619" spans="4:4" x14ac:dyDescent="0.25">
      <c r="D619" s="7"/>
    </row>
    <row r="620" spans="4:4" x14ac:dyDescent="0.25">
      <c r="D620" s="7"/>
    </row>
    <row r="621" spans="4:4" x14ac:dyDescent="0.25">
      <c r="D621" s="7"/>
    </row>
    <row r="622" spans="4:4" x14ac:dyDescent="0.25">
      <c r="D622" s="7"/>
    </row>
    <row r="623" spans="4:4" x14ac:dyDescent="0.25">
      <c r="D623" s="7"/>
    </row>
    <row r="624" spans="4:4" x14ac:dyDescent="0.25">
      <c r="D624" s="7"/>
    </row>
    <row r="625" spans="4:4" x14ac:dyDescent="0.25">
      <c r="D625" s="7"/>
    </row>
    <row r="626" spans="4:4" x14ac:dyDescent="0.25">
      <c r="D626" s="7"/>
    </row>
    <row r="627" spans="4:4" x14ac:dyDescent="0.25">
      <c r="D627" s="7"/>
    </row>
    <row r="628" spans="4:4" x14ac:dyDescent="0.25">
      <c r="D628" s="7"/>
    </row>
    <row r="629" spans="4:4" x14ac:dyDescent="0.25">
      <c r="D629" s="7"/>
    </row>
    <row r="630" spans="4:4" x14ac:dyDescent="0.25">
      <c r="D630" s="7"/>
    </row>
    <row r="631" spans="4:4" x14ac:dyDescent="0.25">
      <c r="D631" s="7"/>
    </row>
    <row r="632" spans="4:4" x14ac:dyDescent="0.25">
      <c r="D632" s="7"/>
    </row>
    <row r="633" spans="4:4" x14ac:dyDescent="0.25">
      <c r="D633" s="7"/>
    </row>
    <row r="634" spans="4:4" x14ac:dyDescent="0.25">
      <c r="D634" s="7"/>
    </row>
    <row r="635" spans="4:4" x14ac:dyDescent="0.25">
      <c r="D635" s="7"/>
    </row>
    <row r="636" spans="4:4" x14ac:dyDescent="0.25">
      <c r="D636" s="7"/>
    </row>
    <row r="637" spans="4:4" x14ac:dyDescent="0.25">
      <c r="D637" s="7"/>
    </row>
    <row r="638" spans="4:4" x14ac:dyDescent="0.25">
      <c r="D638" s="7"/>
    </row>
    <row r="639" spans="4:4" x14ac:dyDescent="0.25">
      <c r="D639" s="7"/>
    </row>
    <row r="640" spans="4:4" x14ac:dyDescent="0.25">
      <c r="D640" s="7"/>
    </row>
    <row r="641" spans="4:4" x14ac:dyDescent="0.25">
      <c r="D641" s="7"/>
    </row>
    <row r="642" spans="4:4" x14ac:dyDescent="0.25">
      <c r="D642" s="7"/>
    </row>
    <row r="643" spans="4:4" x14ac:dyDescent="0.25">
      <c r="D643" s="7"/>
    </row>
    <row r="644" spans="4:4" x14ac:dyDescent="0.25">
      <c r="D644" s="7"/>
    </row>
    <row r="645" spans="4:4" x14ac:dyDescent="0.25">
      <c r="D645" s="7"/>
    </row>
    <row r="646" spans="4:4" x14ac:dyDescent="0.25">
      <c r="D646" s="7"/>
    </row>
    <row r="647" spans="4:4" x14ac:dyDescent="0.25">
      <c r="D647" s="7"/>
    </row>
    <row r="648" spans="4:4" x14ac:dyDescent="0.25">
      <c r="D648" s="7"/>
    </row>
    <row r="649" spans="4:4" x14ac:dyDescent="0.25">
      <c r="D649" s="7"/>
    </row>
    <row r="650" spans="4:4" x14ac:dyDescent="0.25">
      <c r="D650" s="7"/>
    </row>
    <row r="651" spans="4:4" x14ac:dyDescent="0.25">
      <c r="D651" s="7"/>
    </row>
    <row r="652" spans="4:4" x14ac:dyDescent="0.25">
      <c r="D652" s="7"/>
    </row>
    <row r="653" spans="4:4" x14ac:dyDescent="0.25">
      <c r="D653" s="7"/>
    </row>
    <row r="654" spans="4:4" x14ac:dyDescent="0.25">
      <c r="D654" s="7"/>
    </row>
    <row r="655" spans="4:4" x14ac:dyDescent="0.25">
      <c r="D655" s="7"/>
    </row>
    <row r="656" spans="4:4" x14ac:dyDescent="0.25">
      <c r="D656" s="7"/>
    </row>
    <row r="657" spans="4:4" x14ac:dyDescent="0.25">
      <c r="D657" s="7"/>
    </row>
    <row r="658" spans="4:4" x14ac:dyDescent="0.25">
      <c r="D658" s="7"/>
    </row>
    <row r="659" spans="4:4" x14ac:dyDescent="0.25">
      <c r="D659" s="7"/>
    </row>
    <row r="660" spans="4:4" x14ac:dyDescent="0.25">
      <c r="D660" s="7"/>
    </row>
    <row r="661" spans="4:4" x14ac:dyDescent="0.25">
      <c r="D661" s="7"/>
    </row>
    <row r="662" spans="4:4" x14ac:dyDescent="0.25">
      <c r="D662" s="7"/>
    </row>
    <row r="663" spans="4:4" x14ac:dyDescent="0.25">
      <c r="D663" s="7"/>
    </row>
    <row r="664" spans="4:4" x14ac:dyDescent="0.25">
      <c r="D664" s="7"/>
    </row>
    <row r="665" spans="4:4" x14ac:dyDescent="0.25">
      <c r="D665" s="7"/>
    </row>
    <row r="666" spans="4:4" x14ac:dyDescent="0.25">
      <c r="D666" s="7"/>
    </row>
    <row r="667" spans="4:4" x14ac:dyDescent="0.25">
      <c r="D667" s="7"/>
    </row>
    <row r="668" spans="4:4" x14ac:dyDescent="0.25">
      <c r="D668" s="7"/>
    </row>
    <row r="669" spans="4:4" x14ac:dyDescent="0.25">
      <c r="D669" s="7"/>
    </row>
    <row r="670" spans="4:4" x14ac:dyDescent="0.25">
      <c r="D670" s="7"/>
    </row>
    <row r="671" spans="4:4" x14ac:dyDescent="0.25">
      <c r="D671" s="7"/>
    </row>
    <row r="672" spans="4:4" x14ac:dyDescent="0.25">
      <c r="D672" s="7"/>
    </row>
    <row r="673" spans="4:4" x14ac:dyDescent="0.25">
      <c r="D673" s="7"/>
    </row>
    <row r="674" spans="4:4" x14ac:dyDescent="0.25">
      <c r="D674" s="7"/>
    </row>
    <row r="675" spans="4:4" x14ac:dyDescent="0.25">
      <c r="D675" s="7"/>
    </row>
    <row r="676" spans="4:4" x14ac:dyDescent="0.25">
      <c r="D676" s="7"/>
    </row>
    <row r="677" spans="4:4" x14ac:dyDescent="0.25">
      <c r="D677" s="7"/>
    </row>
    <row r="678" spans="4:4" x14ac:dyDescent="0.25">
      <c r="D678" s="7"/>
    </row>
    <row r="679" spans="4:4" x14ac:dyDescent="0.25">
      <c r="D679" s="7"/>
    </row>
    <row r="680" spans="4:4" x14ac:dyDescent="0.25">
      <c r="D680" s="7"/>
    </row>
    <row r="681" spans="4:4" x14ac:dyDescent="0.25">
      <c r="D681" s="7"/>
    </row>
    <row r="682" spans="4:4" x14ac:dyDescent="0.25">
      <c r="D682" s="7"/>
    </row>
    <row r="683" spans="4:4" x14ac:dyDescent="0.25">
      <c r="D683" s="7"/>
    </row>
    <row r="684" spans="4:4" x14ac:dyDescent="0.25">
      <c r="D684" s="7"/>
    </row>
    <row r="685" spans="4:4" x14ac:dyDescent="0.25">
      <c r="D685" s="7"/>
    </row>
    <row r="686" spans="4:4" x14ac:dyDescent="0.25">
      <c r="D686" s="7"/>
    </row>
    <row r="687" spans="4:4" x14ac:dyDescent="0.25">
      <c r="D687" s="7"/>
    </row>
    <row r="688" spans="4:4" x14ac:dyDescent="0.25">
      <c r="D688" s="7"/>
    </row>
    <row r="689" spans="4:4" x14ac:dyDescent="0.25">
      <c r="D689" s="7"/>
    </row>
    <row r="690" spans="4:4" x14ac:dyDescent="0.25">
      <c r="D690" s="7"/>
    </row>
    <row r="691" spans="4:4" x14ac:dyDescent="0.25">
      <c r="D691" s="7"/>
    </row>
    <row r="692" spans="4:4" x14ac:dyDescent="0.25">
      <c r="D692" s="7"/>
    </row>
    <row r="693" spans="4:4" x14ac:dyDescent="0.25">
      <c r="D693" s="7"/>
    </row>
    <row r="694" spans="4:4" x14ac:dyDescent="0.25">
      <c r="D694" s="7"/>
    </row>
    <row r="695" spans="4:4" x14ac:dyDescent="0.25">
      <c r="D695" s="7"/>
    </row>
    <row r="696" spans="4:4" x14ac:dyDescent="0.25">
      <c r="D696" s="7"/>
    </row>
    <row r="697" spans="4:4" x14ac:dyDescent="0.25">
      <c r="D697" s="7"/>
    </row>
    <row r="698" spans="4:4" x14ac:dyDescent="0.25">
      <c r="D698" s="7"/>
    </row>
    <row r="699" spans="4:4" x14ac:dyDescent="0.25">
      <c r="D699" s="7"/>
    </row>
    <row r="700" spans="4:4" x14ac:dyDescent="0.25">
      <c r="D700" s="7"/>
    </row>
    <row r="701" spans="4:4" x14ac:dyDescent="0.25">
      <c r="D701" s="7"/>
    </row>
    <row r="702" spans="4:4" x14ac:dyDescent="0.25">
      <c r="D702" s="7"/>
    </row>
    <row r="703" spans="4:4" x14ac:dyDescent="0.25">
      <c r="D703" s="7"/>
    </row>
    <row r="704" spans="4:4" x14ac:dyDescent="0.25">
      <c r="D704" s="7"/>
    </row>
    <row r="705" spans="4:4" x14ac:dyDescent="0.25">
      <c r="D705" s="7"/>
    </row>
    <row r="706" spans="4:4" x14ac:dyDescent="0.25">
      <c r="D706" s="7"/>
    </row>
    <row r="707" spans="4:4" x14ac:dyDescent="0.25">
      <c r="D707" s="7"/>
    </row>
    <row r="708" spans="4:4" x14ac:dyDescent="0.25">
      <c r="D708" s="7"/>
    </row>
    <row r="709" spans="4:4" x14ac:dyDescent="0.25">
      <c r="D709" s="7"/>
    </row>
    <row r="710" spans="4:4" x14ac:dyDescent="0.25">
      <c r="D710" s="7"/>
    </row>
    <row r="711" spans="4:4" x14ac:dyDescent="0.25">
      <c r="D711" s="7"/>
    </row>
    <row r="712" spans="4:4" x14ac:dyDescent="0.25">
      <c r="D712" s="7"/>
    </row>
    <row r="713" spans="4:4" x14ac:dyDescent="0.25">
      <c r="D713" s="7"/>
    </row>
    <row r="714" spans="4:4" x14ac:dyDescent="0.25">
      <c r="D714" s="7"/>
    </row>
    <row r="715" spans="4:4" x14ac:dyDescent="0.25">
      <c r="D715" s="7"/>
    </row>
    <row r="716" spans="4:4" x14ac:dyDescent="0.25">
      <c r="D716" s="7"/>
    </row>
    <row r="717" spans="4:4" x14ac:dyDescent="0.25">
      <c r="D717" s="7"/>
    </row>
    <row r="718" spans="4:4" x14ac:dyDescent="0.25">
      <c r="D718" s="7"/>
    </row>
    <row r="719" spans="4:4" x14ac:dyDescent="0.25">
      <c r="D719" s="7"/>
    </row>
    <row r="720" spans="4:4" x14ac:dyDescent="0.25">
      <c r="D720" s="7"/>
    </row>
    <row r="721" spans="4:4" x14ac:dyDescent="0.25">
      <c r="D721" s="7"/>
    </row>
    <row r="722" spans="4:4" x14ac:dyDescent="0.25">
      <c r="D722" s="7"/>
    </row>
    <row r="723" spans="4:4" x14ac:dyDescent="0.25">
      <c r="D723" s="7"/>
    </row>
    <row r="724" spans="4:4" x14ac:dyDescent="0.25">
      <c r="D724" s="7"/>
    </row>
    <row r="725" spans="4:4" x14ac:dyDescent="0.25">
      <c r="D725" s="7"/>
    </row>
    <row r="726" spans="4:4" x14ac:dyDescent="0.25">
      <c r="D726" s="7"/>
    </row>
    <row r="727" spans="4:4" x14ac:dyDescent="0.25">
      <c r="D727" s="7"/>
    </row>
    <row r="728" spans="4:4" x14ac:dyDescent="0.25">
      <c r="D728" s="7"/>
    </row>
    <row r="729" spans="4:4" x14ac:dyDescent="0.25">
      <c r="D729" s="7"/>
    </row>
    <row r="730" spans="4:4" x14ac:dyDescent="0.25">
      <c r="D730" s="7"/>
    </row>
    <row r="731" spans="4:4" x14ac:dyDescent="0.25">
      <c r="D731" s="7"/>
    </row>
    <row r="732" spans="4:4" x14ac:dyDescent="0.25">
      <c r="D732" s="7"/>
    </row>
    <row r="733" spans="4:4" x14ac:dyDescent="0.25">
      <c r="D733" s="7"/>
    </row>
    <row r="734" spans="4:4" x14ac:dyDescent="0.25">
      <c r="D734" s="7"/>
    </row>
    <row r="735" spans="4:4" x14ac:dyDescent="0.25">
      <c r="D735" s="7"/>
    </row>
    <row r="736" spans="4:4" x14ac:dyDescent="0.25">
      <c r="D736" s="7"/>
    </row>
    <row r="737" spans="4:4" x14ac:dyDescent="0.25">
      <c r="D737" s="7"/>
    </row>
    <row r="738" spans="4:4" x14ac:dyDescent="0.25">
      <c r="D738" s="7"/>
    </row>
    <row r="739" spans="4:4" x14ac:dyDescent="0.25">
      <c r="D739" s="7"/>
    </row>
    <row r="740" spans="4:4" x14ac:dyDescent="0.25">
      <c r="D740" s="7"/>
    </row>
    <row r="741" spans="4:4" x14ac:dyDescent="0.25">
      <c r="D741" s="7"/>
    </row>
    <row r="742" spans="4:4" x14ac:dyDescent="0.25">
      <c r="D742" s="7"/>
    </row>
    <row r="743" spans="4:4" x14ac:dyDescent="0.25">
      <c r="D743" s="7"/>
    </row>
    <row r="744" spans="4:4" x14ac:dyDescent="0.25">
      <c r="D744" s="7"/>
    </row>
    <row r="745" spans="4:4" x14ac:dyDescent="0.25">
      <c r="D745" s="7"/>
    </row>
    <row r="746" spans="4:4" x14ac:dyDescent="0.25">
      <c r="D746" s="7"/>
    </row>
    <row r="747" spans="4:4" x14ac:dyDescent="0.25">
      <c r="D747" s="7"/>
    </row>
    <row r="748" spans="4:4" x14ac:dyDescent="0.25">
      <c r="D748" s="7"/>
    </row>
    <row r="749" spans="4:4" x14ac:dyDescent="0.25">
      <c r="D749" s="7"/>
    </row>
    <row r="750" spans="4:4" x14ac:dyDescent="0.25">
      <c r="D750" s="7"/>
    </row>
    <row r="751" spans="4:4" x14ac:dyDescent="0.25">
      <c r="D751" s="7"/>
    </row>
    <row r="752" spans="4:4" x14ac:dyDescent="0.25">
      <c r="D752" s="7"/>
    </row>
    <row r="753" spans="4:4" x14ac:dyDescent="0.25">
      <c r="D753" s="7"/>
    </row>
    <row r="754" spans="4:4" x14ac:dyDescent="0.25">
      <c r="D754" s="7"/>
    </row>
    <row r="755" spans="4:4" x14ac:dyDescent="0.25">
      <c r="D755" s="7"/>
    </row>
    <row r="756" spans="4:4" x14ac:dyDescent="0.25">
      <c r="D756" s="7"/>
    </row>
    <row r="757" spans="4:4" x14ac:dyDescent="0.25">
      <c r="D757" s="7"/>
    </row>
    <row r="758" spans="4:4" x14ac:dyDescent="0.25">
      <c r="D758" s="7"/>
    </row>
    <row r="759" spans="4:4" x14ac:dyDescent="0.25">
      <c r="D759" s="7"/>
    </row>
    <row r="760" spans="4:4" x14ac:dyDescent="0.25">
      <c r="D760" s="7"/>
    </row>
    <row r="761" spans="4:4" x14ac:dyDescent="0.25">
      <c r="D761" s="7"/>
    </row>
    <row r="762" spans="4:4" x14ac:dyDescent="0.25">
      <c r="D762" s="7"/>
    </row>
    <row r="763" spans="4:4" x14ac:dyDescent="0.25">
      <c r="D763" s="7"/>
    </row>
    <row r="764" spans="4:4" x14ac:dyDescent="0.25">
      <c r="D764" s="7"/>
    </row>
    <row r="765" spans="4:4" x14ac:dyDescent="0.25">
      <c r="D765" s="7"/>
    </row>
    <row r="766" spans="4:4" x14ac:dyDescent="0.25">
      <c r="D766" s="7"/>
    </row>
    <row r="767" spans="4:4" x14ac:dyDescent="0.25">
      <c r="D767" s="7"/>
    </row>
    <row r="768" spans="4:4" x14ac:dyDescent="0.25">
      <c r="D768" s="7"/>
    </row>
    <row r="769" spans="4:4" x14ac:dyDescent="0.25">
      <c r="D769" s="7"/>
    </row>
    <row r="770" spans="4:4" x14ac:dyDescent="0.25">
      <c r="D770" s="7"/>
    </row>
    <row r="771" spans="4:4" x14ac:dyDescent="0.25">
      <c r="D771" s="7"/>
    </row>
    <row r="772" spans="4:4" x14ac:dyDescent="0.25">
      <c r="D772" s="7"/>
    </row>
    <row r="773" spans="4:4" x14ac:dyDescent="0.25">
      <c r="D773" s="7"/>
    </row>
    <row r="774" spans="4:4" x14ac:dyDescent="0.25">
      <c r="D774" s="7"/>
    </row>
    <row r="775" spans="4:4" x14ac:dyDescent="0.25">
      <c r="D775" s="7"/>
    </row>
    <row r="776" spans="4:4" x14ac:dyDescent="0.25">
      <c r="D776" s="7"/>
    </row>
    <row r="777" spans="4:4" x14ac:dyDescent="0.25">
      <c r="D777" s="7"/>
    </row>
    <row r="778" spans="4:4" x14ac:dyDescent="0.25">
      <c r="D778" s="7"/>
    </row>
    <row r="779" spans="4:4" x14ac:dyDescent="0.25">
      <c r="D779" s="7"/>
    </row>
    <row r="780" spans="4:4" x14ac:dyDescent="0.25">
      <c r="D780" s="7"/>
    </row>
    <row r="781" spans="4:4" x14ac:dyDescent="0.25">
      <c r="D781" s="7"/>
    </row>
    <row r="782" spans="4:4" x14ac:dyDescent="0.25">
      <c r="D782" s="7"/>
    </row>
    <row r="783" spans="4:4" x14ac:dyDescent="0.25">
      <c r="D783" s="7"/>
    </row>
    <row r="784" spans="4:4" x14ac:dyDescent="0.25">
      <c r="D784" s="7"/>
    </row>
    <row r="785" spans="4:4" x14ac:dyDescent="0.25">
      <c r="D785" s="7"/>
    </row>
    <row r="786" spans="4:4" x14ac:dyDescent="0.25">
      <c r="D786" s="7"/>
    </row>
    <row r="787" spans="4:4" x14ac:dyDescent="0.25">
      <c r="D787" s="7"/>
    </row>
    <row r="788" spans="4:4" x14ac:dyDescent="0.25">
      <c r="D788" s="7"/>
    </row>
    <row r="789" spans="4:4" x14ac:dyDescent="0.25">
      <c r="D789" s="7"/>
    </row>
    <row r="790" spans="4:4" x14ac:dyDescent="0.25">
      <c r="D790" s="7"/>
    </row>
    <row r="791" spans="4:4" x14ac:dyDescent="0.25">
      <c r="D791" s="7"/>
    </row>
    <row r="792" spans="4:4" x14ac:dyDescent="0.25">
      <c r="D792" s="7"/>
    </row>
    <row r="793" spans="4:4" x14ac:dyDescent="0.25">
      <c r="D793" s="7"/>
    </row>
    <row r="794" spans="4:4" x14ac:dyDescent="0.25">
      <c r="D794" s="7"/>
    </row>
    <row r="795" spans="4:4" x14ac:dyDescent="0.25">
      <c r="D795" s="7"/>
    </row>
    <row r="796" spans="4:4" x14ac:dyDescent="0.25">
      <c r="D796" s="7"/>
    </row>
    <row r="797" spans="4:4" x14ac:dyDescent="0.25">
      <c r="D797" s="7"/>
    </row>
    <row r="798" spans="4:4" x14ac:dyDescent="0.25">
      <c r="D798" s="7"/>
    </row>
    <row r="799" spans="4:4" x14ac:dyDescent="0.25">
      <c r="D799" s="7"/>
    </row>
    <row r="800" spans="4:4" x14ac:dyDescent="0.25">
      <c r="D800" s="7"/>
    </row>
    <row r="801" spans="4:4" x14ac:dyDescent="0.25">
      <c r="D801" s="7"/>
    </row>
    <row r="802" spans="4:4" x14ac:dyDescent="0.25">
      <c r="D802" s="7"/>
    </row>
    <row r="803" spans="4:4" x14ac:dyDescent="0.25">
      <c r="D803" s="7"/>
    </row>
    <row r="804" spans="4:4" x14ac:dyDescent="0.25">
      <c r="D804" s="7"/>
    </row>
    <row r="805" spans="4:4" x14ac:dyDescent="0.25">
      <c r="D805" s="7"/>
    </row>
    <row r="806" spans="4:4" x14ac:dyDescent="0.25">
      <c r="D806" s="7"/>
    </row>
    <row r="807" spans="4:4" x14ac:dyDescent="0.25">
      <c r="D807" s="7"/>
    </row>
    <row r="808" spans="4:4" x14ac:dyDescent="0.25">
      <c r="D808" s="7"/>
    </row>
    <row r="809" spans="4:4" x14ac:dyDescent="0.25">
      <c r="D809" s="7"/>
    </row>
    <row r="810" spans="4:4" x14ac:dyDescent="0.25">
      <c r="D810" s="7"/>
    </row>
    <row r="811" spans="4:4" x14ac:dyDescent="0.25">
      <c r="D811" s="7"/>
    </row>
    <row r="812" spans="4:4" x14ac:dyDescent="0.25">
      <c r="D812" s="7"/>
    </row>
    <row r="813" spans="4:4" x14ac:dyDescent="0.25">
      <c r="D813" s="7"/>
    </row>
    <row r="814" spans="4:4" x14ac:dyDescent="0.25">
      <c r="D814" s="7"/>
    </row>
    <row r="815" spans="4:4" x14ac:dyDescent="0.25">
      <c r="D815" s="7"/>
    </row>
    <row r="816" spans="4:4" x14ac:dyDescent="0.25">
      <c r="D816" s="7"/>
    </row>
    <row r="817" spans="4:4" x14ac:dyDescent="0.25">
      <c r="D817" s="7"/>
    </row>
    <row r="818" spans="4:4" x14ac:dyDescent="0.25">
      <c r="D818" s="7"/>
    </row>
    <row r="819" spans="4:4" x14ac:dyDescent="0.25">
      <c r="D819" s="7"/>
    </row>
    <row r="820" spans="4:4" x14ac:dyDescent="0.25">
      <c r="D820" s="7"/>
    </row>
    <row r="821" spans="4:4" x14ac:dyDescent="0.25">
      <c r="D821" s="7"/>
    </row>
    <row r="822" spans="4:4" x14ac:dyDescent="0.25">
      <c r="D822" s="7"/>
    </row>
    <row r="823" spans="4:4" x14ac:dyDescent="0.25">
      <c r="D823" s="7"/>
    </row>
    <row r="824" spans="4:4" x14ac:dyDescent="0.25">
      <c r="D824" s="7"/>
    </row>
    <row r="825" spans="4:4" x14ac:dyDescent="0.25">
      <c r="D825" s="7"/>
    </row>
    <row r="826" spans="4:4" x14ac:dyDescent="0.25">
      <c r="D826" s="7"/>
    </row>
    <row r="827" spans="4:4" x14ac:dyDescent="0.25">
      <c r="D827" s="7"/>
    </row>
    <row r="828" spans="4:4" x14ac:dyDescent="0.25">
      <c r="D828" s="7"/>
    </row>
    <row r="829" spans="4:4" x14ac:dyDescent="0.25">
      <c r="D829" s="7"/>
    </row>
    <row r="830" spans="4:4" x14ac:dyDescent="0.25">
      <c r="D830" s="7"/>
    </row>
    <row r="831" spans="4:4" x14ac:dyDescent="0.25">
      <c r="D831" s="7"/>
    </row>
    <row r="832" spans="4:4" x14ac:dyDescent="0.25">
      <c r="D832" s="7"/>
    </row>
    <row r="833" spans="4:4" x14ac:dyDescent="0.25">
      <c r="D833" s="7"/>
    </row>
    <row r="834" spans="4:4" x14ac:dyDescent="0.25">
      <c r="D834" s="7"/>
    </row>
    <row r="835" spans="4:4" x14ac:dyDescent="0.25">
      <c r="D835" s="7"/>
    </row>
    <row r="836" spans="4:4" x14ac:dyDescent="0.25">
      <c r="D836" s="7"/>
    </row>
    <row r="837" spans="4:4" x14ac:dyDescent="0.25">
      <c r="D837" s="7"/>
    </row>
    <row r="838" spans="4:4" x14ac:dyDescent="0.25">
      <c r="D838" s="7"/>
    </row>
    <row r="839" spans="4:4" x14ac:dyDescent="0.25">
      <c r="D839" s="7"/>
    </row>
    <row r="840" spans="4:4" x14ac:dyDescent="0.25">
      <c r="D840" s="7"/>
    </row>
    <row r="841" spans="4:4" x14ac:dyDescent="0.25">
      <c r="D841" s="7"/>
    </row>
    <row r="842" spans="4:4" x14ac:dyDescent="0.25">
      <c r="D842" s="7"/>
    </row>
    <row r="843" spans="4:4" x14ac:dyDescent="0.25">
      <c r="D843" s="7"/>
    </row>
    <row r="844" spans="4:4" x14ac:dyDescent="0.25">
      <c r="D844" s="7"/>
    </row>
    <row r="845" spans="4:4" x14ac:dyDescent="0.25">
      <c r="D845" s="7"/>
    </row>
    <row r="846" spans="4:4" x14ac:dyDescent="0.25">
      <c r="D846" s="7"/>
    </row>
    <row r="847" spans="4:4" x14ac:dyDescent="0.25">
      <c r="D847" s="7"/>
    </row>
    <row r="848" spans="4:4" x14ac:dyDescent="0.25">
      <c r="D848" s="7"/>
    </row>
    <row r="849" spans="4:4" x14ac:dyDescent="0.25">
      <c r="D849" s="7"/>
    </row>
    <row r="850" spans="4:4" x14ac:dyDescent="0.25">
      <c r="D850" s="7"/>
    </row>
    <row r="851" spans="4:4" x14ac:dyDescent="0.25">
      <c r="D851" s="7"/>
    </row>
    <row r="852" spans="4:4" x14ac:dyDescent="0.25">
      <c r="D852" s="7"/>
    </row>
    <row r="853" spans="4:4" x14ac:dyDescent="0.25">
      <c r="D853" s="7"/>
    </row>
    <row r="854" spans="4:4" x14ac:dyDescent="0.25">
      <c r="D854" s="7"/>
    </row>
    <row r="855" spans="4:4" x14ac:dyDescent="0.25">
      <c r="D855" s="7"/>
    </row>
    <row r="856" spans="4:4" x14ac:dyDescent="0.25">
      <c r="D856" s="7"/>
    </row>
    <row r="857" spans="4:4" x14ac:dyDescent="0.25">
      <c r="D857" s="7"/>
    </row>
    <row r="858" spans="4:4" x14ac:dyDescent="0.25">
      <c r="D858" s="7"/>
    </row>
    <row r="859" spans="4:4" x14ac:dyDescent="0.25">
      <c r="D859" s="7"/>
    </row>
    <row r="860" spans="4:4" x14ac:dyDescent="0.25">
      <c r="D860" s="7"/>
    </row>
    <row r="861" spans="4:4" x14ac:dyDescent="0.25">
      <c r="D861" s="7"/>
    </row>
    <row r="862" spans="4:4" x14ac:dyDescent="0.25">
      <c r="D862" s="7"/>
    </row>
    <row r="863" spans="4:4" x14ac:dyDescent="0.25">
      <c r="D863" s="7"/>
    </row>
    <row r="864" spans="4:4" x14ac:dyDescent="0.25">
      <c r="D864" s="7"/>
    </row>
    <row r="865" spans="4:4" x14ac:dyDescent="0.25">
      <c r="D865" s="7"/>
    </row>
    <row r="866" spans="4:4" x14ac:dyDescent="0.25">
      <c r="D866" s="7"/>
    </row>
    <row r="867" spans="4:4" x14ac:dyDescent="0.25">
      <c r="D867" s="7"/>
    </row>
    <row r="868" spans="4:4" x14ac:dyDescent="0.25">
      <c r="D868" s="7"/>
    </row>
    <row r="869" spans="4:4" x14ac:dyDescent="0.25">
      <c r="D869" s="7"/>
    </row>
    <row r="870" spans="4:4" x14ac:dyDescent="0.25">
      <c r="D870" s="7"/>
    </row>
    <row r="871" spans="4:4" x14ac:dyDescent="0.25">
      <c r="D871" s="7"/>
    </row>
    <row r="872" spans="4:4" x14ac:dyDescent="0.25">
      <c r="D872" s="7"/>
    </row>
    <row r="873" spans="4:4" x14ac:dyDescent="0.25">
      <c r="D873" s="7"/>
    </row>
    <row r="874" spans="4:4" x14ac:dyDescent="0.25">
      <c r="D874" s="7"/>
    </row>
    <row r="875" spans="4:4" x14ac:dyDescent="0.25">
      <c r="D875" s="7"/>
    </row>
    <row r="876" spans="4:4" x14ac:dyDescent="0.25">
      <c r="D876" s="7"/>
    </row>
    <row r="877" spans="4:4" x14ac:dyDescent="0.25">
      <c r="D877" s="7"/>
    </row>
    <row r="878" spans="4:4" x14ac:dyDescent="0.25">
      <c r="D878" s="7"/>
    </row>
    <row r="879" spans="4:4" x14ac:dyDescent="0.25">
      <c r="D879" s="7"/>
    </row>
    <row r="880" spans="4:4" x14ac:dyDescent="0.25">
      <c r="D880" s="7"/>
    </row>
    <row r="881" spans="4:4" x14ac:dyDescent="0.25">
      <c r="D881" s="7"/>
    </row>
    <row r="882" spans="4:4" x14ac:dyDescent="0.25">
      <c r="D882" s="7"/>
    </row>
    <row r="883" spans="4:4" x14ac:dyDescent="0.25">
      <c r="D883" s="7"/>
    </row>
    <row r="884" spans="4:4" x14ac:dyDescent="0.25">
      <c r="D884" s="7"/>
    </row>
    <row r="885" spans="4:4" x14ac:dyDescent="0.25">
      <c r="D885" s="7"/>
    </row>
    <row r="886" spans="4:4" x14ac:dyDescent="0.25">
      <c r="D886" s="7"/>
    </row>
    <row r="887" spans="4:4" x14ac:dyDescent="0.25">
      <c r="D887" s="7"/>
    </row>
    <row r="888" spans="4:4" x14ac:dyDescent="0.25">
      <c r="D888" s="7"/>
    </row>
    <row r="889" spans="4:4" x14ac:dyDescent="0.25">
      <c r="D889" s="7"/>
    </row>
    <row r="890" spans="4:4" x14ac:dyDescent="0.25">
      <c r="D890" s="7"/>
    </row>
    <row r="891" spans="4:4" x14ac:dyDescent="0.25">
      <c r="D891" s="7"/>
    </row>
    <row r="892" spans="4:4" x14ac:dyDescent="0.25">
      <c r="D892" s="7"/>
    </row>
    <row r="893" spans="4:4" x14ac:dyDescent="0.25">
      <c r="D893" s="7"/>
    </row>
    <row r="894" spans="4:4" x14ac:dyDescent="0.25">
      <c r="D894" s="7"/>
    </row>
    <row r="895" spans="4:4" x14ac:dyDescent="0.25">
      <c r="D895" s="7"/>
    </row>
    <row r="896" spans="4:4" x14ac:dyDescent="0.25">
      <c r="D896" s="7"/>
    </row>
    <row r="897" spans="4:4" x14ac:dyDescent="0.25">
      <c r="D897" s="7"/>
    </row>
    <row r="898" spans="4:4" x14ac:dyDescent="0.25">
      <c r="D898" s="7"/>
    </row>
    <row r="899" spans="4:4" x14ac:dyDescent="0.25">
      <c r="D899" s="7"/>
    </row>
    <row r="900" spans="4:4" x14ac:dyDescent="0.25">
      <c r="D900" s="7"/>
    </row>
    <row r="901" spans="4:4" x14ac:dyDescent="0.25">
      <c r="D901" s="7"/>
    </row>
    <row r="902" spans="4:4" x14ac:dyDescent="0.25">
      <c r="D902" s="7"/>
    </row>
    <row r="903" spans="4:4" x14ac:dyDescent="0.25">
      <c r="D903" s="7"/>
    </row>
    <row r="904" spans="4:4" x14ac:dyDescent="0.25">
      <c r="D904" s="7"/>
    </row>
    <row r="905" spans="4:4" x14ac:dyDescent="0.25">
      <c r="D905" s="7"/>
    </row>
    <row r="906" spans="4:4" x14ac:dyDescent="0.25">
      <c r="D906" s="7"/>
    </row>
    <row r="907" spans="4:4" x14ac:dyDescent="0.25">
      <c r="D907" s="7"/>
    </row>
    <row r="908" spans="4:4" x14ac:dyDescent="0.25">
      <c r="D908" s="7"/>
    </row>
    <row r="909" spans="4:4" x14ac:dyDescent="0.25">
      <c r="D909" s="7"/>
    </row>
    <row r="910" spans="4:4" x14ac:dyDescent="0.25">
      <c r="D910" s="7"/>
    </row>
    <row r="911" spans="4:4" x14ac:dyDescent="0.25">
      <c r="D911" s="7"/>
    </row>
    <row r="912" spans="4:4" x14ac:dyDescent="0.25">
      <c r="D912" s="7"/>
    </row>
    <row r="913" spans="4:4" x14ac:dyDescent="0.25">
      <c r="D913" s="7"/>
    </row>
    <row r="914" spans="4:4" x14ac:dyDescent="0.25">
      <c r="D914" s="7"/>
    </row>
    <row r="915" spans="4:4" x14ac:dyDescent="0.25">
      <c r="D915" s="7"/>
    </row>
    <row r="916" spans="4:4" x14ac:dyDescent="0.25">
      <c r="D916" s="7"/>
    </row>
    <row r="917" spans="4:4" x14ac:dyDescent="0.25">
      <c r="D917" s="7"/>
    </row>
    <row r="918" spans="4:4" x14ac:dyDescent="0.25">
      <c r="D918" s="7"/>
    </row>
    <row r="919" spans="4:4" x14ac:dyDescent="0.25">
      <c r="D919" s="7"/>
    </row>
    <row r="920" spans="4:4" x14ac:dyDescent="0.25">
      <c r="D920" s="7"/>
    </row>
    <row r="921" spans="4:4" x14ac:dyDescent="0.25">
      <c r="D921" s="7"/>
    </row>
    <row r="922" spans="4:4" x14ac:dyDescent="0.25">
      <c r="D922" s="7"/>
    </row>
    <row r="923" spans="4:4" x14ac:dyDescent="0.25">
      <c r="D923" s="7"/>
    </row>
    <row r="924" spans="4:4" x14ac:dyDescent="0.25">
      <c r="D924" s="7"/>
    </row>
    <row r="925" spans="4:4" x14ac:dyDescent="0.25">
      <c r="D925" s="7"/>
    </row>
    <row r="926" spans="4:4" x14ac:dyDescent="0.25">
      <c r="D926" s="7"/>
    </row>
    <row r="927" spans="4:4" x14ac:dyDescent="0.25">
      <c r="D927" s="7"/>
    </row>
    <row r="928" spans="4:4" x14ac:dyDescent="0.25">
      <c r="D928" s="7"/>
    </row>
    <row r="929" spans="4:4" x14ac:dyDescent="0.25">
      <c r="D929" s="7"/>
    </row>
    <row r="930" spans="4:4" x14ac:dyDescent="0.25">
      <c r="D930" s="7"/>
    </row>
    <row r="931" spans="4:4" x14ac:dyDescent="0.25">
      <c r="D931" s="7"/>
    </row>
    <row r="932" spans="4:4" x14ac:dyDescent="0.25">
      <c r="D932" s="7"/>
    </row>
    <row r="933" spans="4:4" x14ac:dyDescent="0.25">
      <c r="D933" s="7"/>
    </row>
    <row r="934" spans="4:4" x14ac:dyDescent="0.25">
      <c r="D934" s="7"/>
    </row>
    <row r="935" spans="4:4" x14ac:dyDescent="0.25">
      <c r="D935" s="7"/>
    </row>
    <row r="936" spans="4:4" x14ac:dyDescent="0.25">
      <c r="D936" s="7"/>
    </row>
    <row r="937" spans="4:4" x14ac:dyDescent="0.25">
      <c r="D937" s="7"/>
    </row>
    <row r="938" spans="4:4" x14ac:dyDescent="0.25">
      <c r="D938" s="7"/>
    </row>
    <row r="939" spans="4:4" x14ac:dyDescent="0.25">
      <c r="D939" s="7"/>
    </row>
    <row r="940" spans="4:4" x14ac:dyDescent="0.25">
      <c r="D940" s="7"/>
    </row>
    <row r="941" spans="4:4" x14ac:dyDescent="0.25">
      <c r="D941" s="7"/>
    </row>
    <row r="942" spans="4:4" x14ac:dyDescent="0.25">
      <c r="D942" s="7"/>
    </row>
    <row r="943" spans="4:4" x14ac:dyDescent="0.25">
      <c r="D943" s="7"/>
    </row>
    <row r="944" spans="4:4" x14ac:dyDescent="0.25">
      <c r="D944" s="7"/>
    </row>
    <row r="945" spans="4:4" x14ac:dyDescent="0.25">
      <c r="D945" s="7"/>
    </row>
    <row r="946" spans="4:4" x14ac:dyDescent="0.25">
      <c r="D946" s="7"/>
    </row>
    <row r="947" spans="4:4" x14ac:dyDescent="0.25">
      <c r="D947" s="7"/>
    </row>
    <row r="948" spans="4:4" x14ac:dyDescent="0.25">
      <c r="D948" s="7"/>
    </row>
    <row r="949" spans="4:4" x14ac:dyDescent="0.25">
      <c r="D949" s="7"/>
    </row>
    <row r="950" spans="4:4" x14ac:dyDescent="0.25">
      <c r="D950" s="7"/>
    </row>
    <row r="951" spans="4:4" x14ac:dyDescent="0.25">
      <c r="D951" s="7"/>
    </row>
    <row r="952" spans="4:4" x14ac:dyDescent="0.25">
      <c r="D952" s="7"/>
    </row>
    <row r="953" spans="4:4" x14ac:dyDescent="0.25">
      <c r="D953" s="7"/>
    </row>
    <row r="954" spans="4:4" x14ac:dyDescent="0.25">
      <c r="D954" s="7"/>
    </row>
    <row r="955" spans="4:4" x14ac:dyDescent="0.25">
      <c r="D955" s="7"/>
    </row>
    <row r="956" spans="4:4" x14ac:dyDescent="0.25">
      <c r="D956" s="7"/>
    </row>
    <row r="957" spans="4:4" x14ac:dyDescent="0.25">
      <c r="D957" s="7"/>
    </row>
    <row r="958" spans="4:4" x14ac:dyDescent="0.25">
      <c r="D958" s="7"/>
    </row>
    <row r="959" spans="4:4" x14ac:dyDescent="0.25">
      <c r="D959" s="7"/>
    </row>
    <row r="960" spans="4:4" x14ac:dyDescent="0.25">
      <c r="D960" s="7"/>
    </row>
    <row r="961" spans="4:4" x14ac:dyDescent="0.25">
      <c r="D961" s="7"/>
    </row>
    <row r="962" spans="4:4" x14ac:dyDescent="0.25">
      <c r="D962" s="7"/>
    </row>
    <row r="963" spans="4:4" x14ac:dyDescent="0.25">
      <c r="D963" s="7"/>
    </row>
    <row r="964" spans="4:4" x14ac:dyDescent="0.25">
      <c r="D964" s="7"/>
    </row>
    <row r="965" spans="4:4" x14ac:dyDescent="0.25">
      <c r="D965" s="7"/>
    </row>
    <row r="966" spans="4:4" x14ac:dyDescent="0.25">
      <c r="D966" s="7"/>
    </row>
    <row r="967" spans="4:4" x14ac:dyDescent="0.25">
      <c r="D967" s="7"/>
    </row>
    <row r="968" spans="4:4" x14ac:dyDescent="0.25">
      <c r="D968" s="7"/>
    </row>
    <row r="969" spans="4:4" x14ac:dyDescent="0.25">
      <c r="D969" s="7"/>
    </row>
    <row r="970" spans="4:4" x14ac:dyDescent="0.25">
      <c r="D970" s="7"/>
    </row>
    <row r="971" spans="4:4" x14ac:dyDescent="0.25">
      <c r="D971" s="7"/>
    </row>
    <row r="972" spans="4:4" x14ac:dyDescent="0.25">
      <c r="D972" s="7"/>
    </row>
    <row r="973" spans="4:4" x14ac:dyDescent="0.25">
      <c r="D973" s="7"/>
    </row>
    <row r="974" spans="4:4" x14ac:dyDescent="0.25">
      <c r="D974" s="7"/>
    </row>
    <row r="975" spans="4:4" x14ac:dyDescent="0.25">
      <c r="D975" s="7"/>
    </row>
    <row r="976" spans="4:4" x14ac:dyDescent="0.25">
      <c r="D976" s="7"/>
    </row>
    <row r="977" spans="4:4" x14ac:dyDescent="0.25">
      <c r="D977" s="7"/>
    </row>
    <row r="978" spans="4:4" x14ac:dyDescent="0.25">
      <c r="D978" s="7"/>
    </row>
    <row r="979" spans="4:4" x14ac:dyDescent="0.25">
      <c r="D979" s="7"/>
    </row>
    <row r="980" spans="4:4" x14ac:dyDescent="0.25">
      <c r="D980" s="7"/>
    </row>
    <row r="981" spans="4:4" x14ac:dyDescent="0.25">
      <c r="D981" s="7"/>
    </row>
    <row r="982" spans="4:4" x14ac:dyDescent="0.25">
      <c r="D982" s="7"/>
    </row>
    <row r="983" spans="4:4" x14ac:dyDescent="0.25">
      <c r="D983" s="7"/>
    </row>
    <row r="984" spans="4:4" x14ac:dyDescent="0.25">
      <c r="D984" s="7"/>
    </row>
    <row r="985" spans="4:4" x14ac:dyDescent="0.25">
      <c r="D985" s="7"/>
    </row>
    <row r="986" spans="4:4" x14ac:dyDescent="0.25">
      <c r="D986" s="7"/>
    </row>
    <row r="987" spans="4:4" x14ac:dyDescent="0.25">
      <c r="D987" s="7"/>
    </row>
    <row r="988" spans="4:4" x14ac:dyDescent="0.25">
      <c r="D988" s="7"/>
    </row>
    <row r="989" spans="4:4" x14ac:dyDescent="0.25">
      <c r="D989" s="7"/>
    </row>
    <row r="990" spans="4:4" x14ac:dyDescent="0.25">
      <c r="D990" s="7"/>
    </row>
    <row r="991" spans="4:4" x14ac:dyDescent="0.25">
      <c r="D991" s="7"/>
    </row>
    <row r="992" spans="4:4" x14ac:dyDescent="0.25">
      <c r="D992" s="7"/>
    </row>
    <row r="993" spans="4:4" x14ac:dyDescent="0.25">
      <c r="D993" s="7"/>
    </row>
    <row r="994" spans="4:4" x14ac:dyDescent="0.25">
      <c r="D994" s="7"/>
    </row>
    <row r="995" spans="4:4" x14ac:dyDescent="0.25">
      <c r="D995" s="7"/>
    </row>
    <row r="996" spans="4:4" x14ac:dyDescent="0.25">
      <c r="D996" s="7"/>
    </row>
    <row r="997" spans="4:4" x14ac:dyDescent="0.25">
      <c r="D997" s="7"/>
    </row>
    <row r="998" spans="4:4" x14ac:dyDescent="0.25">
      <c r="D998" s="7"/>
    </row>
    <row r="999" spans="4:4" x14ac:dyDescent="0.25">
      <c r="D999" s="7"/>
    </row>
    <row r="1000" spans="4:4" x14ac:dyDescent="0.25">
      <c r="D1000" s="7"/>
    </row>
    <row r="1001" spans="4:4" x14ac:dyDescent="0.25">
      <c r="D1001" s="7"/>
    </row>
    <row r="1002" spans="4:4" x14ac:dyDescent="0.25">
      <c r="D1002" s="7"/>
    </row>
    <row r="1003" spans="4:4" x14ac:dyDescent="0.25">
      <c r="D1003" s="7"/>
    </row>
    <row r="1004" spans="4:4" x14ac:dyDescent="0.25">
      <c r="D1004" s="7"/>
    </row>
    <row r="1005" spans="4:4" x14ac:dyDescent="0.25">
      <c r="D1005" s="7"/>
    </row>
    <row r="1006" spans="4:4" x14ac:dyDescent="0.25">
      <c r="D1006" s="7"/>
    </row>
    <row r="1007" spans="4:4" x14ac:dyDescent="0.25">
      <c r="D1007" s="7"/>
    </row>
    <row r="1008" spans="4:4" x14ac:dyDescent="0.25">
      <c r="D1008" s="7"/>
    </row>
    <row r="1009" spans="4:4" x14ac:dyDescent="0.25">
      <c r="D1009" s="7"/>
    </row>
    <row r="1010" spans="4:4" x14ac:dyDescent="0.25">
      <c r="D1010" s="7"/>
    </row>
    <row r="1011" spans="4:4" x14ac:dyDescent="0.25">
      <c r="D1011" s="7"/>
    </row>
    <row r="1012" spans="4:4" x14ac:dyDescent="0.25">
      <c r="D1012" s="7"/>
    </row>
    <row r="1013" spans="4:4" x14ac:dyDescent="0.25">
      <c r="D1013" s="7"/>
    </row>
    <row r="1014" spans="4:4" x14ac:dyDescent="0.25">
      <c r="D1014" s="7"/>
    </row>
    <row r="1015" spans="4:4" x14ac:dyDescent="0.25">
      <c r="D1015" s="7"/>
    </row>
    <row r="1016" spans="4:4" x14ac:dyDescent="0.25">
      <c r="D1016" s="7"/>
    </row>
    <row r="1017" spans="4:4" x14ac:dyDescent="0.25">
      <c r="D1017" s="7"/>
    </row>
    <row r="1018" spans="4:4" x14ac:dyDescent="0.25">
      <c r="D1018" s="7"/>
    </row>
    <row r="1019" spans="4:4" x14ac:dyDescent="0.25">
      <c r="D1019" s="7"/>
    </row>
    <row r="1020" spans="4:4" x14ac:dyDescent="0.25">
      <c r="D1020" s="7"/>
    </row>
    <row r="1021" spans="4:4" x14ac:dyDescent="0.25">
      <c r="D1021" s="7"/>
    </row>
    <row r="1022" spans="4:4" x14ac:dyDescent="0.25">
      <c r="D1022" s="7"/>
    </row>
    <row r="1023" spans="4:4" x14ac:dyDescent="0.25">
      <c r="D1023" s="7"/>
    </row>
    <row r="1024" spans="4:4" x14ac:dyDescent="0.25">
      <c r="D1024" s="7"/>
    </row>
    <row r="1025" spans="4:4" x14ac:dyDescent="0.25">
      <c r="D1025" s="7"/>
    </row>
    <row r="1026" spans="4:4" x14ac:dyDescent="0.25">
      <c r="D1026" s="7"/>
    </row>
    <row r="1027" spans="4:4" x14ac:dyDescent="0.25">
      <c r="D1027" s="7"/>
    </row>
    <row r="1028" spans="4:4" x14ac:dyDescent="0.25">
      <c r="D1028" s="7"/>
    </row>
    <row r="1029" spans="4:4" x14ac:dyDescent="0.25">
      <c r="D1029" s="7"/>
    </row>
    <row r="1030" spans="4:4" x14ac:dyDescent="0.25">
      <c r="D1030" s="7"/>
    </row>
    <row r="1031" spans="4:4" x14ac:dyDescent="0.25">
      <c r="D1031" s="7"/>
    </row>
    <row r="1032" spans="4:4" x14ac:dyDescent="0.25">
      <c r="D1032" s="7"/>
    </row>
    <row r="1033" spans="4:4" x14ac:dyDescent="0.25">
      <c r="D1033" s="7"/>
    </row>
    <row r="1034" spans="4:4" x14ac:dyDescent="0.25">
      <c r="D1034" s="7"/>
    </row>
    <row r="1035" spans="4:4" x14ac:dyDescent="0.25">
      <c r="D1035" s="7"/>
    </row>
    <row r="1036" spans="4:4" x14ac:dyDescent="0.25">
      <c r="D1036" s="7"/>
    </row>
    <row r="1037" spans="4:4" x14ac:dyDescent="0.25">
      <c r="D1037" s="7"/>
    </row>
    <row r="1038" spans="4:4" x14ac:dyDescent="0.25">
      <c r="D1038" s="7"/>
    </row>
    <row r="1039" spans="4:4" x14ac:dyDescent="0.25">
      <c r="D1039" s="7"/>
    </row>
    <row r="1040" spans="4:4" x14ac:dyDescent="0.25">
      <c r="D1040" s="7"/>
    </row>
    <row r="1041" spans="4:4" x14ac:dyDescent="0.25">
      <c r="D1041" s="7"/>
    </row>
    <row r="1042" spans="4:4" x14ac:dyDescent="0.25">
      <c r="D1042" s="7"/>
    </row>
    <row r="1043" spans="4:4" x14ac:dyDescent="0.25">
      <c r="D1043" s="7"/>
    </row>
    <row r="1044" spans="4:4" x14ac:dyDescent="0.25">
      <c r="D1044" s="7"/>
    </row>
    <row r="1045" spans="4:4" x14ac:dyDescent="0.25">
      <c r="D1045" s="7"/>
    </row>
    <row r="1046" spans="4:4" x14ac:dyDescent="0.25">
      <c r="D1046" s="7"/>
    </row>
    <row r="1047" spans="4:4" x14ac:dyDescent="0.25">
      <c r="D1047" s="7"/>
    </row>
    <row r="1048" spans="4:4" x14ac:dyDescent="0.25">
      <c r="D1048" s="7"/>
    </row>
    <row r="1049" spans="4:4" x14ac:dyDescent="0.25">
      <c r="D1049" s="7"/>
    </row>
    <row r="1050" spans="4:4" x14ac:dyDescent="0.25">
      <c r="D1050" s="7"/>
    </row>
    <row r="1051" spans="4:4" x14ac:dyDescent="0.25">
      <c r="D1051" s="7"/>
    </row>
    <row r="1052" spans="4:4" x14ac:dyDescent="0.25">
      <c r="D1052" s="7"/>
    </row>
    <row r="1053" spans="4:4" x14ac:dyDescent="0.25">
      <c r="D1053" s="7"/>
    </row>
    <row r="1054" spans="4:4" x14ac:dyDescent="0.25">
      <c r="D1054" s="7"/>
    </row>
    <row r="1055" spans="4:4" x14ac:dyDescent="0.25">
      <c r="D1055" s="7"/>
    </row>
    <row r="1056" spans="4:4" x14ac:dyDescent="0.25">
      <c r="D1056" s="7"/>
    </row>
    <row r="1057" spans="4:4" x14ac:dyDescent="0.25">
      <c r="D1057" s="7"/>
    </row>
    <row r="1058" spans="4:4" x14ac:dyDescent="0.25">
      <c r="D1058" s="7"/>
    </row>
    <row r="1059" spans="4:4" x14ac:dyDescent="0.25">
      <c r="D1059" s="7"/>
    </row>
    <row r="1060" spans="4:4" x14ac:dyDescent="0.25">
      <c r="D1060" s="7"/>
    </row>
    <row r="1061" spans="4:4" x14ac:dyDescent="0.25">
      <c r="D1061" s="7"/>
    </row>
    <row r="1062" spans="4:4" x14ac:dyDescent="0.25">
      <c r="D1062" s="7"/>
    </row>
    <row r="1063" spans="4:4" x14ac:dyDescent="0.25">
      <c r="D1063" s="7"/>
    </row>
    <row r="1064" spans="4:4" x14ac:dyDescent="0.25">
      <c r="D1064" s="7"/>
    </row>
    <row r="1065" spans="4:4" x14ac:dyDescent="0.25">
      <c r="D1065" s="7"/>
    </row>
    <row r="1066" spans="4:4" x14ac:dyDescent="0.25">
      <c r="D1066" s="7"/>
    </row>
    <row r="1067" spans="4:4" x14ac:dyDescent="0.25">
      <c r="D1067" s="7"/>
    </row>
    <row r="1068" spans="4:4" x14ac:dyDescent="0.25">
      <c r="D1068" s="7"/>
    </row>
    <row r="1069" spans="4:4" x14ac:dyDescent="0.25">
      <c r="D1069" s="7"/>
    </row>
    <row r="1070" spans="4:4" x14ac:dyDescent="0.25">
      <c r="D1070" s="7"/>
    </row>
    <row r="1071" spans="4:4" x14ac:dyDescent="0.25">
      <c r="D1071" s="7"/>
    </row>
    <row r="1072" spans="4:4" x14ac:dyDescent="0.25">
      <c r="D1072" s="7"/>
    </row>
    <row r="1073" spans="4:4" x14ac:dyDescent="0.25">
      <c r="D1073" s="7"/>
    </row>
    <row r="1074" spans="4:4" x14ac:dyDescent="0.25">
      <c r="D1074" s="7"/>
    </row>
    <row r="1075" spans="4:4" x14ac:dyDescent="0.25">
      <c r="D1075" s="7"/>
    </row>
    <row r="1076" spans="4:4" x14ac:dyDescent="0.25">
      <c r="D1076" s="7"/>
    </row>
    <row r="1077" spans="4:4" x14ac:dyDescent="0.25">
      <c r="D1077" s="7"/>
    </row>
    <row r="1078" spans="4:4" x14ac:dyDescent="0.25">
      <c r="D1078" s="7"/>
    </row>
    <row r="1079" spans="4:4" x14ac:dyDescent="0.25">
      <c r="D1079" s="7"/>
    </row>
    <row r="1080" spans="4:4" x14ac:dyDescent="0.25">
      <c r="D1080" s="7"/>
    </row>
    <row r="1081" spans="4:4" x14ac:dyDescent="0.25">
      <c r="D1081" s="7"/>
    </row>
    <row r="1082" spans="4:4" x14ac:dyDescent="0.25">
      <c r="D1082" s="7"/>
    </row>
    <row r="1083" spans="4:4" x14ac:dyDescent="0.25">
      <c r="D1083" s="7"/>
    </row>
    <row r="1084" spans="4:4" x14ac:dyDescent="0.25">
      <c r="D1084" s="7"/>
    </row>
    <row r="1085" spans="4:4" x14ac:dyDescent="0.25">
      <c r="D1085" s="7"/>
    </row>
    <row r="1086" spans="4:4" x14ac:dyDescent="0.25">
      <c r="D1086" s="7"/>
    </row>
    <row r="1087" spans="4:4" x14ac:dyDescent="0.25">
      <c r="D1087" s="7"/>
    </row>
    <row r="1088" spans="4:4" x14ac:dyDescent="0.25">
      <c r="D1088" s="7"/>
    </row>
    <row r="1089" spans="4:4" x14ac:dyDescent="0.25">
      <c r="D1089" s="7"/>
    </row>
    <row r="1090" spans="4:4" x14ac:dyDescent="0.25">
      <c r="D1090" s="7"/>
    </row>
    <row r="1091" spans="4:4" x14ac:dyDescent="0.25">
      <c r="D1091" s="7"/>
    </row>
    <row r="1092" spans="4:4" x14ac:dyDescent="0.25">
      <c r="D1092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rgb="FFCC0000"/>
  </sheetPr>
  <dimension ref="A1:I1098"/>
  <sheetViews>
    <sheetView workbookViewId="0">
      <selection activeCell="A2" sqref="A2"/>
    </sheetView>
  </sheetViews>
  <sheetFormatPr defaultRowHeight="15" x14ac:dyDescent="0.25"/>
  <cols>
    <col min="2" max="10" width="19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>
        <v>21336</v>
      </c>
      <c r="B2">
        <v>5.4366000000000003</v>
      </c>
      <c r="C2">
        <v>5.4371999999999998</v>
      </c>
      <c r="D2" s="7">
        <v>46024.544131944444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>
        <v>21337</v>
      </c>
      <c r="B3">
        <v>5.4344999999999999</v>
      </c>
      <c r="C3">
        <v>5.4351000000000003</v>
      </c>
      <c r="D3" s="7">
        <v>46027.548784722225</v>
      </c>
      <c r="E3">
        <v>0</v>
      </c>
      <c r="F3">
        <v>0</v>
      </c>
      <c r="G3">
        <v>-0.04</v>
      </c>
      <c r="H3">
        <v>-0.04</v>
      </c>
      <c r="I3" t="s">
        <v>15</v>
      </c>
    </row>
    <row r="4" spans="1:9" x14ac:dyDescent="0.25">
      <c r="A4">
        <v>21338</v>
      </c>
      <c r="B4">
        <v>5.3791000000000002</v>
      </c>
      <c r="C4">
        <v>5.3796999999999997</v>
      </c>
      <c r="D4" s="7">
        <v>46028.550081018519</v>
      </c>
      <c r="E4">
        <v>-0.06</v>
      </c>
      <c r="F4">
        <v>-0.06</v>
      </c>
      <c r="G4">
        <v>-1.02</v>
      </c>
      <c r="H4">
        <v>-1.02</v>
      </c>
      <c r="I4" t="s">
        <v>15</v>
      </c>
    </row>
    <row r="5" spans="1:9" x14ac:dyDescent="0.25">
      <c r="A5">
        <v>21339</v>
      </c>
      <c r="B5">
        <v>5.3874000000000004</v>
      </c>
      <c r="C5">
        <v>5.3879999999999999</v>
      </c>
      <c r="D5" s="7">
        <v>46029.54614583333</v>
      </c>
      <c r="E5">
        <v>0.01</v>
      </c>
      <c r="F5">
        <v>0.01</v>
      </c>
      <c r="G5">
        <v>0.15</v>
      </c>
      <c r="H5">
        <v>0.15</v>
      </c>
      <c r="I5" t="s">
        <v>15</v>
      </c>
    </row>
    <row r="6" spans="1:9" x14ac:dyDescent="0.25">
      <c r="A6">
        <v>21340</v>
      </c>
      <c r="B6">
        <v>5.3853999999999997</v>
      </c>
      <c r="C6">
        <v>5.3860000000000001</v>
      </c>
      <c r="D6" s="7">
        <v>46030.54478009259</v>
      </c>
      <c r="E6">
        <v>0</v>
      </c>
      <c r="F6">
        <v>0</v>
      </c>
      <c r="G6">
        <v>-0.04</v>
      </c>
      <c r="H6">
        <v>-0.04</v>
      </c>
      <c r="I6" t="s">
        <v>15</v>
      </c>
    </row>
    <row r="7" spans="1:9" x14ac:dyDescent="0.25">
      <c r="A7">
        <v>21341</v>
      </c>
      <c r="B7">
        <v>5.3700999999999999</v>
      </c>
      <c r="C7">
        <v>5.3707000000000003</v>
      </c>
      <c r="D7" s="7">
        <v>46031.548252314817</v>
      </c>
      <c r="E7">
        <v>-0.02</v>
      </c>
      <c r="F7">
        <v>-0.02</v>
      </c>
      <c r="G7">
        <v>-0.28000000000000003</v>
      </c>
      <c r="H7">
        <v>-0.28000000000000003</v>
      </c>
      <c r="I7" t="s">
        <v>15</v>
      </c>
    </row>
    <row r="8" spans="1:9" x14ac:dyDescent="0.25">
      <c r="A8">
        <v>21342</v>
      </c>
      <c r="B8">
        <v>5.3754</v>
      </c>
      <c r="C8">
        <v>5.3760000000000003</v>
      </c>
      <c r="D8" s="7">
        <v>46034.54755787037</v>
      </c>
      <c r="E8">
        <v>0.01</v>
      </c>
      <c r="F8">
        <v>0.01</v>
      </c>
      <c r="G8">
        <v>0.1</v>
      </c>
      <c r="H8">
        <v>0.1</v>
      </c>
      <c r="I8" t="s">
        <v>15</v>
      </c>
    </row>
    <row r="9" spans="1:9" x14ac:dyDescent="0.25">
      <c r="A9">
        <v>21343</v>
      </c>
      <c r="B9">
        <v>5.3757999999999999</v>
      </c>
      <c r="C9">
        <v>5.3764000000000003</v>
      </c>
      <c r="D9" s="7">
        <v>46035.547847222224</v>
      </c>
      <c r="E9">
        <v>0</v>
      </c>
      <c r="F9">
        <v>0</v>
      </c>
      <c r="G9">
        <v>0.01</v>
      </c>
      <c r="H9">
        <v>0.01</v>
      </c>
      <c r="I9" t="s">
        <v>15</v>
      </c>
    </row>
    <row r="10" spans="1:9" x14ac:dyDescent="0.25">
      <c r="A10">
        <v>21344</v>
      </c>
      <c r="B10">
        <v>5.3788999999999998</v>
      </c>
      <c r="C10">
        <v>5.3795000000000002</v>
      </c>
      <c r="D10" s="7">
        <v>46036.544814814813</v>
      </c>
      <c r="E10">
        <v>0</v>
      </c>
      <c r="F10">
        <v>0</v>
      </c>
      <c r="G10">
        <v>0.06</v>
      </c>
      <c r="H10">
        <v>0.06</v>
      </c>
      <c r="I10" t="s">
        <v>15</v>
      </c>
    </row>
    <row r="11" spans="1:9" x14ac:dyDescent="0.25">
      <c r="A11">
        <v>21345</v>
      </c>
      <c r="B11">
        <v>5.3840000000000003</v>
      </c>
      <c r="C11">
        <v>5.3845999999999998</v>
      </c>
      <c r="D11" s="7">
        <v>46037.545439814814</v>
      </c>
      <c r="E11">
        <v>0.01</v>
      </c>
      <c r="F11">
        <v>0.01</v>
      </c>
      <c r="G11">
        <v>0.09</v>
      </c>
      <c r="H11">
        <v>0.09</v>
      </c>
      <c r="I11" t="s">
        <v>15</v>
      </c>
    </row>
    <row r="12" spans="1:9" x14ac:dyDescent="0.25">
      <c r="A12">
        <v>21346</v>
      </c>
      <c r="B12">
        <v>5.3792</v>
      </c>
      <c r="C12">
        <v>5.3798000000000004</v>
      </c>
      <c r="D12" s="7">
        <v>46038.544745370367</v>
      </c>
      <c r="E12">
        <v>0</v>
      </c>
      <c r="F12">
        <v>0</v>
      </c>
      <c r="G12">
        <v>-0.09</v>
      </c>
      <c r="H12">
        <v>-0.09</v>
      </c>
      <c r="I12" t="s">
        <v>15</v>
      </c>
    </row>
    <row r="13" spans="1:9" x14ac:dyDescent="0.25">
      <c r="A13">
        <v>21347</v>
      </c>
      <c r="B13">
        <v>5.3647</v>
      </c>
      <c r="C13">
        <v>5.3653000000000004</v>
      </c>
      <c r="D13" s="7">
        <v>46041.546851851854</v>
      </c>
      <c r="E13">
        <v>-0.01</v>
      </c>
      <c r="F13">
        <v>-0.01</v>
      </c>
      <c r="G13">
        <v>-0.27</v>
      </c>
      <c r="H13">
        <v>-0.27</v>
      </c>
      <c r="I13" t="s">
        <v>15</v>
      </c>
    </row>
    <row r="14" spans="1:9" x14ac:dyDescent="0.25">
      <c r="A14">
        <v>21348</v>
      </c>
      <c r="B14">
        <v>5.3784000000000001</v>
      </c>
      <c r="C14">
        <v>5.3789999999999996</v>
      </c>
      <c r="D14" s="7">
        <v>46042.543414351851</v>
      </c>
      <c r="E14">
        <v>0.01</v>
      </c>
      <c r="F14">
        <v>0.01</v>
      </c>
      <c r="G14">
        <v>0.26</v>
      </c>
      <c r="H14">
        <v>0.26</v>
      </c>
      <c r="I14" t="s">
        <v>15</v>
      </c>
    </row>
    <row r="15" spans="1:9" x14ac:dyDescent="0.25">
      <c r="A15">
        <v>21349</v>
      </c>
      <c r="B15">
        <v>5.3361999999999998</v>
      </c>
      <c r="C15">
        <v>5.3368000000000002</v>
      </c>
      <c r="D15" s="7">
        <v>46043.54482638889</v>
      </c>
      <c r="E15">
        <v>-0.04</v>
      </c>
      <c r="F15">
        <v>-0.04</v>
      </c>
      <c r="G15">
        <v>-0.78</v>
      </c>
      <c r="H15">
        <v>-0.78</v>
      </c>
      <c r="I15" t="s">
        <v>15</v>
      </c>
    </row>
    <row r="16" spans="1:9" x14ac:dyDescent="0.25">
      <c r="A16">
        <v>21350</v>
      </c>
      <c r="B16">
        <v>5.3112000000000004</v>
      </c>
      <c r="C16">
        <v>5.3117999999999999</v>
      </c>
      <c r="D16" s="7">
        <v>46044.5468287037</v>
      </c>
      <c r="E16">
        <v>-0.03</v>
      </c>
      <c r="F16">
        <v>-0.02</v>
      </c>
      <c r="G16">
        <v>-0.47</v>
      </c>
      <c r="H16">
        <v>-0.47</v>
      </c>
      <c r="I16" t="s">
        <v>15</v>
      </c>
    </row>
    <row r="17" spans="1:9" x14ac:dyDescent="0.25">
      <c r="A17">
        <v>21351</v>
      </c>
      <c r="B17">
        <v>5.2872000000000003</v>
      </c>
      <c r="C17">
        <v>5.2878999999999996</v>
      </c>
      <c r="D17" s="7">
        <v>46045.548217592594</v>
      </c>
      <c r="E17">
        <v>-0.02</v>
      </c>
      <c r="F17">
        <v>-0.02</v>
      </c>
      <c r="G17">
        <v>-0.45</v>
      </c>
      <c r="H17">
        <v>-0.45</v>
      </c>
      <c r="I17" t="s">
        <v>15</v>
      </c>
    </row>
    <row r="18" spans="1:9" x14ac:dyDescent="0.25">
      <c r="A18">
        <v>21352</v>
      </c>
      <c r="B18">
        <v>5.2754000000000003</v>
      </c>
      <c r="C18">
        <v>5.2759999999999998</v>
      </c>
      <c r="D18" s="7">
        <v>46048.547951388886</v>
      </c>
      <c r="E18">
        <v>-0.01</v>
      </c>
      <c r="F18">
        <v>-0.01</v>
      </c>
      <c r="G18">
        <v>-0.23</v>
      </c>
      <c r="H18">
        <v>-0.22</v>
      </c>
      <c r="I18" t="s">
        <v>15</v>
      </c>
    </row>
    <row r="19" spans="1:9" x14ac:dyDescent="0.25">
      <c r="A19">
        <v>21353</v>
      </c>
      <c r="B19">
        <v>5.2385999999999999</v>
      </c>
      <c r="C19">
        <v>5.2392000000000003</v>
      </c>
      <c r="D19" s="7">
        <v>46049.547523148147</v>
      </c>
      <c r="E19">
        <v>-0.04</v>
      </c>
      <c r="F19">
        <v>-0.04</v>
      </c>
      <c r="G19">
        <v>-0.7</v>
      </c>
      <c r="H19">
        <v>-0.7</v>
      </c>
      <c r="I19" t="s">
        <v>15</v>
      </c>
    </row>
    <row r="20" spans="1:9" x14ac:dyDescent="0.25">
      <c r="A20">
        <v>21354</v>
      </c>
      <c r="B20">
        <v>5.1832000000000003</v>
      </c>
      <c r="C20">
        <v>5.1837999999999997</v>
      </c>
      <c r="D20" s="7">
        <v>46050.54892361111</v>
      </c>
      <c r="E20">
        <v>-0.06</v>
      </c>
      <c r="F20">
        <v>-0.06</v>
      </c>
      <c r="G20">
        <v>-1.06</v>
      </c>
      <c r="H20">
        <v>-1.06</v>
      </c>
      <c r="I20" t="s">
        <v>15</v>
      </c>
    </row>
    <row r="21" spans="1:9" x14ac:dyDescent="0.25">
      <c r="A21">
        <v>21355</v>
      </c>
      <c r="B21">
        <v>5.1950000000000003</v>
      </c>
      <c r="C21">
        <v>5.1955999999999998</v>
      </c>
      <c r="D21" s="7">
        <v>46051.547488425924</v>
      </c>
      <c r="E21">
        <v>0.01</v>
      </c>
      <c r="F21">
        <v>0.01</v>
      </c>
      <c r="G21">
        <v>0.23</v>
      </c>
      <c r="H21">
        <v>0.23</v>
      </c>
      <c r="I21" t="s">
        <v>15</v>
      </c>
    </row>
    <row r="22" spans="1:9" x14ac:dyDescent="0.25">
      <c r="A22">
        <v>21356</v>
      </c>
      <c r="B22">
        <v>5.2294999999999998</v>
      </c>
      <c r="C22">
        <v>5.2301000000000002</v>
      </c>
      <c r="D22" s="7">
        <v>46052.545474537037</v>
      </c>
      <c r="E22">
        <v>0.03</v>
      </c>
      <c r="F22">
        <v>0.03</v>
      </c>
      <c r="G22">
        <v>0.66</v>
      </c>
      <c r="H22">
        <v>0.66</v>
      </c>
      <c r="I22" t="s">
        <v>15</v>
      </c>
    </row>
    <row r="23" spans="1:9" x14ac:dyDescent="0.25">
      <c r="A23">
        <v>21357</v>
      </c>
      <c r="B23">
        <v>5.2580999999999998</v>
      </c>
      <c r="C23">
        <v>5.2587000000000002</v>
      </c>
      <c r="D23" s="7">
        <v>46055.546851851854</v>
      </c>
      <c r="E23">
        <v>0.03</v>
      </c>
      <c r="F23">
        <v>0.03</v>
      </c>
      <c r="G23">
        <v>0.55000000000000004</v>
      </c>
      <c r="H23">
        <v>0.55000000000000004</v>
      </c>
      <c r="I23" t="s">
        <v>15</v>
      </c>
    </row>
    <row r="24" spans="1:9" x14ac:dyDescent="0.25">
      <c r="A24">
        <v>21358</v>
      </c>
      <c r="B24">
        <v>5.2229999999999999</v>
      </c>
      <c r="C24">
        <v>5.2236000000000002</v>
      </c>
      <c r="D24" s="7">
        <v>46056.549618055556</v>
      </c>
      <c r="E24">
        <v>-0.04</v>
      </c>
      <c r="F24">
        <v>-0.04</v>
      </c>
      <c r="G24">
        <v>-0.67</v>
      </c>
      <c r="H24">
        <v>-0.67</v>
      </c>
      <c r="I24" t="s">
        <v>15</v>
      </c>
    </row>
    <row r="25" spans="1:9" x14ac:dyDescent="0.25">
      <c r="A25">
        <v>21359</v>
      </c>
      <c r="B25">
        <v>5.2352999999999996</v>
      </c>
      <c r="C25">
        <v>5.2359</v>
      </c>
      <c r="D25" s="7">
        <v>46057.548946759256</v>
      </c>
      <c r="E25">
        <v>0.01</v>
      </c>
      <c r="F25">
        <v>0.01</v>
      </c>
      <c r="G25">
        <v>0.24</v>
      </c>
      <c r="H25">
        <v>0.24</v>
      </c>
      <c r="I25" t="s">
        <v>15</v>
      </c>
    </row>
    <row r="26" spans="1:9" x14ac:dyDescent="0.25">
      <c r="A26">
        <v>21360</v>
      </c>
      <c r="B26">
        <v>5.2573999999999996</v>
      </c>
      <c r="C26">
        <v>5.258</v>
      </c>
      <c r="D26" s="7">
        <v>46058.545474537037</v>
      </c>
      <c r="E26">
        <v>0.02</v>
      </c>
      <c r="F26">
        <v>0.02</v>
      </c>
      <c r="G26">
        <v>0.42</v>
      </c>
      <c r="H26">
        <v>0.42</v>
      </c>
      <c r="I26" t="s">
        <v>15</v>
      </c>
    </row>
    <row r="27" spans="1:9" x14ac:dyDescent="0.25">
      <c r="A27">
        <v>21361</v>
      </c>
      <c r="B27">
        <v>5.2335000000000003</v>
      </c>
      <c r="C27">
        <v>5.2340999999999998</v>
      </c>
      <c r="D27" s="7">
        <v>46059.54892361111</v>
      </c>
      <c r="E27">
        <v>-0.02</v>
      </c>
      <c r="F27">
        <v>-0.02</v>
      </c>
      <c r="G27">
        <v>-0.45</v>
      </c>
      <c r="H27">
        <v>-0.45</v>
      </c>
      <c r="I27" t="s">
        <v>15</v>
      </c>
    </row>
    <row r="28" spans="1:9" x14ac:dyDescent="0.25">
      <c r="A28">
        <v>21362</v>
      </c>
      <c r="B28">
        <v>5.1936999999999998</v>
      </c>
      <c r="C28">
        <v>5.1943000000000001</v>
      </c>
      <c r="D28" s="7">
        <v>46062.548229166663</v>
      </c>
      <c r="E28">
        <v>-0.04</v>
      </c>
      <c r="F28">
        <v>-0.04</v>
      </c>
      <c r="G28">
        <v>-0.76</v>
      </c>
      <c r="H28">
        <v>-0.76</v>
      </c>
      <c r="I28" t="s">
        <v>15</v>
      </c>
    </row>
    <row r="29" spans="1:9" x14ac:dyDescent="0.25">
      <c r="A29">
        <v>21363</v>
      </c>
      <c r="B29">
        <v>5.2015000000000002</v>
      </c>
      <c r="C29">
        <v>5.2020999999999997</v>
      </c>
      <c r="D29" s="7">
        <v>46063.54892361111</v>
      </c>
      <c r="E29">
        <v>0.01</v>
      </c>
      <c r="F29">
        <v>0.01</v>
      </c>
      <c r="G29">
        <v>0.15</v>
      </c>
      <c r="H29">
        <v>0.15</v>
      </c>
      <c r="I29" t="s">
        <v>15</v>
      </c>
    </row>
    <row r="30" spans="1:9" x14ac:dyDescent="0.25">
      <c r="A30">
        <v>21364</v>
      </c>
      <c r="B30">
        <v>5.1829999999999998</v>
      </c>
      <c r="C30">
        <v>5.1836000000000002</v>
      </c>
      <c r="D30" s="7">
        <v>46064.544074074074</v>
      </c>
      <c r="E30">
        <v>-0.02</v>
      </c>
      <c r="F30">
        <v>-0.02</v>
      </c>
      <c r="G30">
        <v>-0.36</v>
      </c>
      <c r="H30">
        <v>-0.36</v>
      </c>
      <c r="I30" t="s">
        <v>15</v>
      </c>
    </row>
    <row r="31" spans="1:9" x14ac:dyDescent="0.25">
      <c r="A31">
        <v>21365</v>
      </c>
      <c r="B31">
        <v>5.1668000000000003</v>
      </c>
      <c r="C31">
        <v>5.1673999999999998</v>
      </c>
      <c r="D31" s="7">
        <v>46065.54488425926</v>
      </c>
      <c r="E31">
        <v>-0.02</v>
      </c>
      <c r="F31">
        <v>-0.02</v>
      </c>
      <c r="G31">
        <v>-0.31</v>
      </c>
      <c r="H31">
        <v>-0.31</v>
      </c>
      <c r="I31" t="s">
        <v>15</v>
      </c>
    </row>
    <row r="32" spans="1:9" x14ac:dyDescent="0.25">
      <c r="A32">
        <v>21366</v>
      </c>
      <c r="B32">
        <v>5.2282000000000002</v>
      </c>
      <c r="C32">
        <v>5.2287999999999997</v>
      </c>
      <c r="D32" s="7">
        <v>46066.544768518521</v>
      </c>
      <c r="E32">
        <v>0.06</v>
      </c>
      <c r="F32">
        <v>0.06</v>
      </c>
      <c r="G32">
        <v>1.19</v>
      </c>
      <c r="H32">
        <v>1.19</v>
      </c>
      <c r="I32" t="s">
        <v>15</v>
      </c>
    </row>
    <row r="33" spans="1:9" x14ac:dyDescent="0.25">
      <c r="A33">
        <v>21367</v>
      </c>
      <c r="B33">
        <v>5.2343000000000002</v>
      </c>
      <c r="C33">
        <v>5.2348999999999997</v>
      </c>
      <c r="D33" s="7">
        <v>46071.653113425928</v>
      </c>
      <c r="E33">
        <v>0.01</v>
      </c>
      <c r="F33">
        <v>0.01</v>
      </c>
      <c r="G33">
        <v>0.12</v>
      </c>
      <c r="H33">
        <v>0.12</v>
      </c>
      <c r="I33" t="s">
        <v>15</v>
      </c>
    </row>
    <row r="34" spans="1:9" x14ac:dyDescent="0.25">
      <c r="A34">
        <v>21368</v>
      </c>
      <c r="B34">
        <v>5.2249999999999996</v>
      </c>
      <c r="C34">
        <v>5.2256999999999998</v>
      </c>
      <c r="D34" s="7">
        <v>46072.549618055556</v>
      </c>
      <c r="E34">
        <v>-0.01</v>
      </c>
      <c r="F34">
        <v>-0.01</v>
      </c>
      <c r="G34">
        <v>-0.18</v>
      </c>
      <c r="H34">
        <v>-0.18</v>
      </c>
      <c r="I34" t="s">
        <v>15</v>
      </c>
    </row>
    <row r="35" spans="1:9" x14ac:dyDescent="0.25">
      <c r="A35">
        <v>21369</v>
      </c>
      <c r="B35">
        <v>5.2</v>
      </c>
      <c r="C35">
        <v>5.2005999999999997</v>
      </c>
      <c r="D35" s="7">
        <v>46073.543356481481</v>
      </c>
      <c r="E35">
        <v>-0.03</v>
      </c>
      <c r="F35">
        <v>-0.02</v>
      </c>
      <c r="G35">
        <v>-0.48</v>
      </c>
      <c r="H35">
        <v>-0.48</v>
      </c>
      <c r="I35" t="s">
        <v>15</v>
      </c>
    </row>
    <row r="36" spans="1:9" x14ac:dyDescent="0.25">
      <c r="A36">
        <v>21370</v>
      </c>
      <c r="B36">
        <v>5.1628999999999996</v>
      </c>
      <c r="C36">
        <v>5.1635</v>
      </c>
      <c r="D36" s="7">
        <v>46076.543379629627</v>
      </c>
      <c r="E36">
        <v>-0.04</v>
      </c>
      <c r="F36">
        <v>-0.04</v>
      </c>
      <c r="G36">
        <v>-0.71</v>
      </c>
      <c r="H36">
        <v>-0.71</v>
      </c>
      <c r="I36" t="s">
        <v>15</v>
      </c>
    </row>
    <row r="37" spans="1:9" x14ac:dyDescent="0.25">
      <c r="A37">
        <v>21371</v>
      </c>
      <c r="B37">
        <v>5.1676000000000002</v>
      </c>
      <c r="C37">
        <v>5.1681999999999997</v>
      </c>
      <c r="D37" s="7">
        <v>46077.54478009259</v>
      </c>
      <c r="E37">
        <v>0</v>
      </c>
      <c r="F37">
        <v>0</v>
      </c>
      <c r="G37">
        <v>0.09</v>
      </c>
      <c r="H37">
        <v>0.09</v>
      </c>
      <c r="I37" t="s">
        <v>15</v>
      </c>
    </row>
    <row r="38" spans="1:9" x14ac:dyDescent="0.25">
      <c r="A38">
        <v>21372</v>
      </c>
      <c r="B38">
        <v>5.1433999999999997</v>
      </c>
      <c r="C38">
        <v>5.1440000000000001</v>
      </c>
      <c r="D38" s="7">
        <v>46078.54546296296</v>
      </c>
      <c r="E38">
        <v>-0.02</v>
      </c>
      <c r="F38">
        <v>-0.02</v>
      </c>
      <c r="G38">
        <v>-0.47</v>
      </c>
      <c r="H38">
        <v>-0.47</v>
      </c>
      <c r="I38" t="s">
        <v>15</v>
      </c>
    </row>
    <row r="39" spans="1:9" x14ac:dyDescent="0.25">
      <c r="A39">
        <v>21373</v>
      </c>
      <c r="B39">
        <v>5.1375999999999999</v>
      </c>
      <c r="C39">
        <v>5.1382000000000003</v>
      </c>
      <c r="D39" s="7">
        <v>46079.546215277776</v>
      </c>
      <c r="E39">
        <v>-0.01</v>
      </c>
      <c r="F39">
        <v>-0.01</v>
      </c>
      <c r="G39">
        <v>-0.11</v>
      </c>
      <c r="H39">
        <v>-0.11</v>
      </c>
      <c r="I39" t="s">
        <v>15</v>
      </c>
    </row>
    <row r="40" spans="1:9" x14ac:dyDescent="0.25">
      <c r="A40">
        <v>21374</v>
      </c>
      <c r="B40">
        <v>5.1489000000000003</v>
      </c>
      <c r="C40">
        <v>5.1494999999999997</v>
      </c>
      <c r="D40" s="7">
        <v>46080.543368055558</v>
      </c>
      <c r="E40">
        <v>0.01</v>
      </c>
      <c r="F40">
        <v>0.01</v>
      </c>
      <c r="G40">
        <v>0.22</v>
      </c>
      <c r="H40">
        <v>0.22</v>
      </c>
      <c r="I40" t="s">
        <v>15</v>
      </c>
    </row>
    <row r="41" spans="1:9" x14ac:dyDescent="0.25">
      <c r="A41">
        <v>21375</v>
      </c>
      <c r="B41">
        <v>5.1994999999999996</v>
      </c>
      <c r="C41">
        <v>5.2000999999999999</v>
      </c>
      <c r="D41" s="7">
        <v>46083.548217592594</v>
      </c>
      <c r="E41">
        <v>0.05</v>
      </c>
      <c r="F41">
        <v>0.05</v>
      </c>
      <c r="G41">
        <v>0.98</v>
      </c>
      <c r="H41">
        <v>0.98</v>
      </c>
      <c r="I41" t="s">
        <v>15</v>
      </c>
    </row>
    <row r="42" spans="1:9" x14ac:dyDescent="0.25">
      <c r="A42">
        <v>21376</v>
      </c>
      <c r="B42">
        <v>5.2864000000000004</v>
      </c>
      <c r="C42">
        <v>5.2869999999999999</v>
      </c>
      <c r="D42" s="7">
        <v>46084.548935185187</v>
      </c>
      <c r="E42">
        <v>0.09</v>
      </c>
      <c r="F42">
        <v>0.09</v>
      </c>
      <c r="G42">
        <v>1.67</v>
      </c>
      <c r="H42">
        <v>1.67</v>
      </c>
      <c r="I42" t="s">
        <v>15</v>
      </c>
    </row>
    <row r="43" spans="1:9" x14ac:dyDescent="0.25">
      <c r="A43">
        <v>21377</v>
      </c>
      <c r="B43">
        <v>5.2084999999999999</v>
      </c>
      <c r="C43">
        <v>5.2091000000000003</v>
      </c>
      <c r="D43" s="7">
        <v>46085.546840277777</v>
      </c>
      <c r="E43">
        <v>-0.08</v>
      </c>
      <c r="F43">
        <v>-0.08</v>
      </c>
      <c r="G43">
        <v>-1.47</v>
      </c>
      <c r="H43">
        <v>-1.47</v>
      </c>
      <c r="I43" t="s">
        <v>15</v>
      </c>
    </row>
    <row r="44" spans="1:9" x14ac:dyDescent="0.25">
      <c r="A44">
        <v>21378</v>
      </c>
      <c r="B44">
        <v>5.2441000000000004</v>
      </c>
      <c r="C44">
        <v>5.2446999999999999</v>
      </c>
      <c r="D44" s="7">
        <v>46086.54409722222</v>
      </c>
      <c r="E44">
        <v>0.04</v>
      </c>
      <c r="F44">
        <v>0.04</v>
      </c>
      <c r="G44">
        <v>0.68</v>
      </c>
      <c r="H44">
        <v>0.68</v>
      </c>
      <c r="I44" t="s">
        <v>15</v>
      </c>
    </row>
    <row r="45" spans="1:9" x14ac:dyDescent="0.25">
      <c r="A45">
        <v>21379</v>
      </c>
      <c r="B45">
        <v>5.2872000000000003</v>
      </c>
      <c r="C45">
        <v>5.2877999999999998</v>
      </c>
      <c r="D45" s="7">
        <v>46087.548935185187</v>
      </c>
      <c r="E45">
        <v>0.04</v>
      </c>
      <c r="F45">
        <v>0.04</v>
      </c>
      <c r="G45">
        <v>0.82</v>
      </c>
      <c r="H45">
        <v>0.82</v>
      </c>
      <c r="I45" t="s">
        <v>15</v>
      </c>
    </row>
    <row r="46" spans="1:9" x14ac:dyDescent="0.25">
      <c r="A46">
        <v>21380</v>
      </c>
      <c r="B46">
        <v>5.2133000000000003</v>
      </c>
      <c r="C46">
        <v>5.2138999999999998</v>
      </c>
      <c r="D46" s="7">
        <v>46090.548935185187</v>
      </c>
      <c r="E46">
        <v>-7.0000000000000007E-2</v>
      </c>
      <c r="F46">
        <v>-7.0000000000000007E-2</v>
      </c>
      <c r="G46">
        <v>-1.4</v>
      </c>
      <c r="H46">
        <v>-1.4</v>
      </c>
      <c r="I46" t="s">
        <v>15</v>
      </c>
    </row>
    <row r="47" spans="1:9" x14ac:dyDescent="0.25">
      <c r="A47">
        <v>21381</v>
      </c>
      <c r="B47">
        <v>5.1616</v>
      </c>
      <c r="C47">
        <v>5.1622000000000003</v>
      </c>
      <c r="D47" s="7">
        <v>46091.548217592594</v>
      </c>
      <c r="E47">
        <v>-0.05</v>
      </c>
      <c r="F47">
        <v>-0.05</v>
      </c>
      <c r="G47">
        <v>-0.99</v>
      </c>
      <c r="H47">
        <v>-0.99</v>
      </c>
      <c r="I47" t="s">
        <v>15</v>
      </c>
    </row>
    <row r="48" spans="1:9" x14ac:dyDescent="0.25">
      <c r="A48">
        <v>21382</v>
      </c>
      <c r="B48">
        <v>5.1589999999999998</v>
      </c>
      <c r="C48">
        <v>5.1596000000000002</v>
      </c>
      <c r="D48" s="7">
        <v>46092.544745370367</v>
      </c>
      <c r="E48">
        <v>0</v>
      </c>
      <c r="F48">
        <v>0</v>
      </c>
      <c r="G48">
        <v>-0.05</v>
      </c>
      <c r="H48">
        <v>-0.05</v>
      </c>
      <c r="I48" t="s">
        <v>15</v>
      </c>
    </row>
    <row r="49" spans="1:9" x14ac:dyDescent="0.25">
      <c r="A49">
        <v>21383</v>
      </c>
      <c r="B49">
        <v>5.2045000000000003</v>
      </c>
      <c r="C49">
        <v>5.2050999999999998</v>
      </c>
      <c r="D49" s="7">
        <v>46093.548946759256</v>
      </c>
      <c r="E49">
        <v>0.05</v>
      </c>
      <c r="F49">
        <v>0.05</v>
      </c>
      <c r="G49">
        <v>0.88</v>
      </c>
      <c r="H49">
        <v>0.88</v>
      </c>
      <c r="I49" t="s">
        <v>15</v>
      </c>
    </row>
    <row r="50" spans="1:9" x14ac:dyDescent="0.25">
      <c r="A50">
        <v>21384</v>
      </c>
      <c r="B50">
        <v>5.2534999999999998</v>
      </c>
      <c r="C50">
        <v>5.2541000000000002</v>
      </c>
      <c r="D50" s="7">
        <v>46094.544085648151</v>
      </c>
      <c r="E50">
        <v>0.05</v>
      </c>
      <c r="F50">
        <v>0.05</v>
      </c>
      <c r="G50">
        <v>0.94</v>
      </c>
      <c r="H50">
        <v>0.94</v>
      </c>
      <c r="I50" t="s">
        <v>15</v>
      </c>
    </row>
    <row r="51" spans="1:9" x14ac:dyDescent="0.25">
      <c r="A51">
        <v>21385</v>
      </c>
      <c r="B51">
        <v>5.2641</v>
      </c>
      <c r="C51">
        <v>5.2647000000000004</v>
      </c>
      <c r="D51" s="7">
        <v>46097.547511574077</v>
      </c>
      <c r="E51">
        <v>0.01</v>
      </c>
      <c r="F51">
        <v>0.01</v>
      </c>
      <c r="G51">
        <v>0.2</v>
      </c>
      <c r="H51">
        <v>0.2</v>
      </c>
      <c r="I51" t="s">
        <v>15</v>
      </c>
    </row>
    <row r="52" spans="1:9" x14ac:dyDescent="0.25">
      <c r="A52">
        <v>21386</v>
      </c>
      <c r="B52">
        <v>5.2016</v>
      </c>
      <c r="C52">
        <v>5.2022000000000004</v>
      </c>
      <c r="D52" s="7">
        <v>46098.548298611109</v>
      </c>
      <c r="E52">
        <v>-0.06</v>
      </c>
      <c r="F52">
        <v>-0.06</v>
      </c>
      <c r="G52">
        <v>-1.19</v>
      </c>
      <c r="H52">
        <v>-1.19</v>
      </c>
      <c r="I52" t="s">
        <v>15</v>
      </c>
    </row>
    <row r="53" spans="1:9" x14ac:dyDescent="0.25">
      <c r="A53">
        <v>21387</v>
      </c>
      <c r="B53">
        <v>5.2106000000000003</v>
      </c>
      <c r="C53">
        <v>5.2111999999999998</v>
      </c>
      <c r="D53" s="7">
        <v>46099.54760416667</v>
      </c>
      <c r="E53">
        <v>0.01</v>
      </c>
      <c r="F53">
        <v>0.01</v>
      </c>
      <c r="G53">
        <v>0.17</v>
      </c>
      <c r="H53">
        <v>0.17</v>
      </c>
      <c r="I53" t="s">
        <v>15</v>
      </c>
    </row>
    <row r="54" spans="1:9" x14ac:dyDescent="0.25">
      <c r="A54">
        <v>21388</v>
      </c>
      <c r="B54">
        <v>5.2580999999999998</v>
      </c>
      <c r="C54">
        <v>5.2587000000000002</v>
      </c>
      <c r="D54" s="7">
        <v>46100.543368055558</v>
      </c>
      <c r="E54">
        <v>0.05</v>
      </c>
      <c r="F54">
        <v>0.05</v>
      </c>
      <c r="G54">
        <v>0.91</v>
      </c>
      <c r="H54">
        <v>0.91</v>
      </c>
      <c r="I54" t="s">
        <v>15</v>
      </c>
    </row>
    <row r="55" spans="1:9" x14ac:dyDescent="0.25">
      <c r="A55">
        <v>21389</v>
      </c>
      <c r="B55">
        <v>5.2793000000000001</v>
      </c>
      <c r="C55">
        <v>5.28</v>
      </c>
      <c r="D55" s="7">
        <v>46101.549629629626</v>
      </c>
      <c r="E55">
        <v>0.02</v>
      </c>
      <c r="F55">
        <v>0.02</v>
      </c>
      <c r="G55">
        <v>0.41</v>
      </c>
      <c r="H55">
        <v>0.4</v>
      </c>
      <c r="I55" t="s">
        <v>15</v>
      </c>
    </row>
    <row r="56" spans="1:9" x14ac:dyDescent="0.25">
      <c r="A56">
        <v>21390</v>
      </c>
      <c r="B56">
        <v>5.2434000000000003</v>
      </c>
      <c r="C56">
        <v>5.2439999999999998</v>
      </c>
      <c r="D56" s="7">
        <v>46104.549629629626</v>
      </c>
      <c r="E56">
        <v>-0.04</v>
      </c>
      <c r="F56">
        <v>-0.04</v>
      </c>
      <c r="G56">
        <v>-0.68</v>
      </c>
      <c r="H56">
        <v>-0.68</v>
      </c>
      <c r="I56" t="s">
        <v>15</v>
      </c>
    </row>
    <row r="57" spans="1:9" x14ac:dyDescent="0.25">
      <c r="A57">
        <v>21391</v>
      </c>
      <c r="B57">
        <v>5.2592999999999996</v>
      </c>
      <c r="C57">
        <v>5.2599</v>
      </c>
      <c r="D57" s="7">
        <v>46105.548252314817</v>
      </c>
      <c r="E57">
        <v>0.02</v>
      </c>
      <c r="F57">
        <v>0.02</v>
      </c>
      <c r="G57">
        <v>0.3</v>
      </c>
      <c r="H57">
        <v>0.3</v>
      </c>
      <c r="I57" t="s">
        <v>15</v>
      </c>
    </row>
    <row r="58" spans="1:9" x14ac:dyDescent="0.25">
      <c r="A58">
        <v>21392</v>
      </c>
      <c r="B58">
        <v>5.2268999999999997</v>
      </c>
      <c r="C58">
        <v>5.2275</v>
      </c>
      <c r="D58" s="7">
        <v>46106.547615740739</v>
      </c>
      <c r="E58">
        <v>-0.03</v>
      </c>
      <c r="F58">
        <v>-0.03</v>
      </c>
      <c r="G58">
        <v>-0.62</v>
      </c>
      <c r="H58">
        <v>-0.62</v>
      </c>
      <c r="I58" t="s">
        <v>15</v>
      </c>
    </row>
    <row r="59" spans="1:9" x14ac:dyDescent="0.25">
      <c r="A59">
        <v>21393</v>
      </c>
      <c r="B59">
        <v>5.2302</v>
      </c>
      <c r="C59">
        <v>5.2308000000000003</v>
      </c>
      <c r="D59" s="7">
        <v>46107.549409722225</v>
      </c>
      <c r="E59">
        <v>0</v>
      </c>
      <c r="F59">
        <v>0</v>
      </c>
      <c r="G59">
        <v>0.06</v>
      </c>
      <c r="H59">
        <v>0.06</v>
      </c>
      <c r="I59" t="s">
        <v>15</v>
      </c>
    </row>
    <row r="60" spans="1:9" x14ac:dyDescent="0.25">
      <c r="A60">
        <v>21394</v>
      </c>
      <c r="B60">
        <v>5.2370000000000001</v>
      </c>
      <c r="C60">
        <v>5.2375999999999996</v>
      </c>
      <c r="D60" s="7">
        <v>46108.549791666665</v>
      </c>
      <c r="E60">
        <v>0.01</v>
      </c>
      <c r="F60">
        <v>0.01</v>
      </c>
      <c r="G60">
        <v>0.13</v>
      </c>
      <c r="H60">
        <v>0.13</v>
      </c>
      <c r="I60" t="s">
        <v>15</v>
      </c>
    </row>
    <row r="61" spans="1:9" x14ac:dyDescent="0.25">
      <c r="A61">
        <v>21395</v>
      </c>
      <c r="B61">
        <v>5.2347000000000001</v>
      </c>
      <c r="C61">
        <v>5.2352999999999996</v>
      </c>
      <c r="D61" s="7">
        <v>46111.548935185187</v>
      </c>
      <c r="E61">
        <v>0</v>
      </c>
      <c r="F61">
        <v>0</v>
      </c>
      <c r="G61">
        <v>-0.04</v>
      </c>
      <c r="H61">
        <v>-0.04</v>
      </c>
      <c r="I61" t="s">
        <v>15</v>
      </c>
    </row>
    <row r="62" spans="1:9" x14ac:dyDescent="0.25">
      <c r="A62">
        <v>21396</v>
      </c>
      <c r="B62">
        <v>5.2187999999999999</v>
      </c>
      <c r="C62">
        <v>5.2194000000000003</v>
      </c>
      <c r="D62" s="7">
        <v>46112.544710648152</v>
      </c>
      <c r="E62">
        <v>-0.02</v>
      </c>
      <c r="F62">
        <v>-0.02</v>
      </c>
      <c r="G62">
        <v>-0.3</v>
      </c>
      <c r="H62">
        <v>-0.3</v>
      </c>
      <c r="I62" t="s">
        <v>15</v>
      </c>
    </row>
    <row r="63" spans="1:9" x14ac:dyDescent="0.25">
      <c r="A63">
        <v>21397</v>
      </c>
      <c r="B63">
        <v>5.16</v>
      </c>
      <c r="C63">
        <v>5.1605999999999996</v>
      </c>
      <c r="D63" s="7">
        <v>46113.546157407407</v>
      </c>
      <c r="E63">
        <v>-0.06</v>
      </c>
      <c r="F63">
        <v>-0.06</v>
      </c>
      <c r="G63">
        <v>-1.1299999999999999</v>
      </c>
      <c r="H63">
        <v>-1.1299999999999999</v>
      </c>
      <c r="I63" t="s">
        <v>15</v>
      </c>
    </row>
    <row r="64" spans="1:9" x14ac:dyDescent="0.25">
      <c r="A64">
        <v>21398</v>
      </c>
      <c r="B64">
        <v>5.1649000000000003</v>
      </c>
      <c r="C64">
        <v>5.1654999999999998</v>
      </c>
      <c r="D64" s="7">
        <v>46114.54892361111</v>
      </c>
      <c r="E64">
        <v>0</v>
      </c>
      <c r="F64">
        <v>0</v>
      </c>
      <c r="G64">
        <v>0.09</v>
      </c>
      <c r="H64">
        <v>0.09</v>
      </c>
      <c r="I64" t="s">
        <v>15</v>
      </c>
    </row>
    <row r="65" spans="1:9" x14ac:dyDescent="0.25">
      <c r="A65">
        <v>21399</v>
      </c>
      <c r="B65">
        <v>5.1525999999999996</v>
      </c>
      <c r="C65">
        <v>5.1532</v>
      </c>
      <c r="D65" s="7">
        <v>46118.546122685184</v>
      </c>
      <c r="E65">
        <v>-0.01</v>
      </c>
      <c r="F65">
        <v>-0.01</v>
      </c>
      <c r="G65">
        <v>-0.24</v>
      </c>
      <c r="H65">
        <v>-0.24</v>
      </c>
      <c r="I65" t="s">
        <v>15</v>
      </c>
    </row>
    <row r="66" spans="1:9" x14ac:dyDescent="0.25">
      <c r="A66">
        <v>21400</v>
      </c>
      <c r="B66">
        <v>5.1619000000000002</v>
      </c>
      <c r="C66">
        <v>5.1624999999999996</v>
      </c>
      <c r="D66" s="7">
        <v>46119.547523148147</v>
      </c>
      <c r="E66">
        <v>0.01</v>
      </c>
      <c r="F66">
        <v>0.01</v>
      </c>
      <c r="G66">
        <v>0.18</v>
      </c>
      <c r="H66">
        <v>0.18</v>
      </c>
      <c r="I66" t="s">
        <v>15</v>
      </c>
    </row>
    <row r="67" spans="1:9" x14ac:dyDescent="0.25">
      <c r="A67">
        <v>21401</v>
      </c>
      <c r="B67">
        <v>5.0892999999999997</v>
      </c>
      <c r="C67">
        <v>5.0899000000000001</v>
      </c>
      <c r="D67" s="7">
        <v>46120.543391203704</v>
      </c>
      <c r="E67">
        <v>-7.0000000000000007E-2</v>
      </c>
      <c r="F67">
        <v>-7.0000000000000007E-2</v>
      </c>
      <c r="G67">
        <v>-1.41</v>
      </c>
      <c r="H67">
        <v>-1.41</v>
      </c>
      <c r="I67" t="s">
        <v>15</v>
      </c>
    </row>
    <row r="68" spans="1:9" x14ac:dyDescent="0.25">
      <c r="A68">
        <v>21402</v>
      </c>
      <c r="B68">
        <v>5.0815000000000001</v>
      </c>
      <c r="C68">
        <v>5.0820999999999996</v>
      </c>
      <c r="D68" s="7">
        <v>46121.548958333333</v>
      </c>
      <c r="E68">
        <v>-0.01</v>
      </c>
      <c r="F68">
        <v>-0.01</v>
      </c>
      <c r="G68">
        <v>-0.15</v>
      </c>
      <c r="H68">
        <v>-0.15</v>
      </c>
      <c r="I68" t="s">
        <v>15</v>
      </c>
    </row>
    <row r="69" spans="1:9" x14ac:dyDescent="0.25">
      <c r="A69">
        <v>21403</v>
      </c>
      <c r="B69">
        <v>5.0223000000000004</v>
      </c>
      <c r="C69">
        <v>5.0228999999999999</v>
      </c>
      <c r="D69" s="7">
        <v>46122.544733796298</v>
      </c>
      <c r="E69">
        <v>-0.06</v>
      </c>
      <c r="F69">
        <v>-0.06</v>
      </c>
      <c r="G69">
        <v>-1.1599999999999999</v>
      </c>
      <c r="H69">
        <v>-1.17</v>
      </c>
      <c r="I69" t="s">
        <v>15</v>
      </c>
    </row>
    <row r="70" spans="1:9" x14ac:dyDescent="0.25">
      <c r="A70">
        <v>21404</v>
      </c>
      <c r="B70">
        <v>5.0237999999999996</v>
      </c>
      <c r="C70">
        <v>5.0244</v>
      </c>
      <c r="D70" s="7">
        <v>46125.545069444444</v>
      </c>
      <c r="E70">
        <v>0</v>
      </c>
      <c r="F70">
        <v>0</v>
      </c>
      <c r="G70">
        <v>0.03</v>
      </c>
      <c r="H70">
        <v>0.03</v>
      </c>
      <c r="I70" t="s">
        <v>15</v>
      </c>
    </row>
    <row r="71" spans="1:9" x14ac:dyDescent="0.25">
      <c r="A71">
        <v>21405</v>
      </c>
      <c r="B71">
        <v>4.9800000000000004</v>
      </c>
      <c r="C71">
        <v>4.9805999999999999</v>
      </c>
      <c r="D71" s="7">
        <v>46126.544062499997</v>
      </c>
      <c r="E71">
        <v>-0.04</v>
      </c>
      <c r="F71">
        <v>-0.04</v>
      </c>
      <c r="G71">
        <v>-0.87</v>
      </c>
      <c r="H71">
        <v>-0.87</v>
      </c>
      <c r="I71" t="s">
        <v>15</v>
      </c>
    </row>
    <row r="72" spans="1:9" x14ac:dyDescent="0.25">
      <c r="A72">
        <v>21406</v>
      </c>
      <c r="B72">
        <v>4.9922000000000004</v>
      </c>
      <c r="C72">
        <v>4.9927999999999999</v>
      </c>
      <c r="D72" s="7">
        <v>46127.546134259261</v>
      </c>
      <c r="E72">
        <v>0.01</v>
      </c>
      <c r="F72">
        <v>0.01</v>
      </c>
      <c r="G72">
        <v>0.24</v>
      </c>
      <c r="H72">
        <v>0.24</v>
      </c>
      <c r="I72" t="s">
        <v>15</v>
      </c>
    </row>
    <row r="73" spans="1:9" x14ac:dyDescent="0.25">
      <c r="A73">
        <v>21407</v>
      </c>
      <c r="B73">
        <v>5.0000999999999998</v>
      </c>
      <c r="C73">
        <v>5.0007000000000001</v>
      </c>
      <c r="D73" s="7">
        <v>46128.544085648151</v>
      </c>
      <c r="E73">
        <v>0.01</v>
      </c>
      <c r="F73">
        <v>0.01</v>
      </c>
      <c r="G73">
        <v>0.16</v>
      </c>
      <c r="H73">
        <v>0.16</v>
      </c>
      <c r="I73" t="s">
        <v>15</v>
      </c>
    </row>
    <row r="74" spans="1:9" x14ac:dyDescent="0.25">
      <c r="A74">
        <v>21408</v>
      </c>
      <c r="B74">
        <v>4.9688999999999997</v>
      </c>
      <c r="C74">
        <v>4.9695</v>
      </c>
      <c r="D74" s="7">
        <v>46129.548229166663</v>
      </c>
      <c r="E74">
        <v>-0.03</v>
      </c>
      <c r="F74">
        <v>-0.03</v>
      </c>
      <c r="G74">
        <v>-0.62</v>
      </c>
      <c r="H74">
        <v>-0.62</v>
      </c>
      <c r="I74" t="s">
        <v>15</v>
      </c>
    </row>
    <row r="75" spans="1:9" x14ac:dyDescent="0.25">
      <c r="A75">
        <v>21409</v>
      </c>
      <c r="B75">
        <v>4.9837999999999996</v>
      </c>
      <c r="C75">
        <v>4.9843999999999999</v>
      </c>
      <c r="D75" s="7">
        <v>46132.543356481481</v>
      </c>
      <c r="E75">
        <v>0.01</v>
      </c>
      <c r="F75">
        <v>0.01</v>
      </c>
      <c r="G75">
        <v>0.3</v>
      </c>
      <c r="H75">
        <v>0.3</v>
      </c>
      <c r="I75" t="s">
        <v>15</v>
      </c>
    </row>
    <row r="76" spans="1:9" x14ac:dyDescent="0.25">
      <c r="A76">
        <v>21410</v>
      </c>
      <c r="B76">
        <v>4.9646999999999997</v>
      </c>
      <c r="C76">
        <v>4.9653</v>
      </c>
      <c r="D76" s="7">
        <v>46134.549629629626</v>
      </c>
      <c r="E76">
        <v>-0.02</v>
      </c>
      <c r="F76">
        <v>-0.02</v>
      </c>
      <c r="G76">
        <v>-0.38</v>
      </c>
      <c r="H76">
        <v>-0.38</v>
      </c>
      <c r="I76" t="s">
        <v>15</v>
      </c>
    </row>
    <row r="77" spans="1:9" x14ac:dyDescent="0.25">
      <c r="A77">
        <v>21411</v>
      </c>
      <c r="B77">
        <v>4.9532999999999996</v>
      </c>
      <c r="C77">
        <v>4.9539</v>
      </c>
      <c r="D77" s="7">
        <v>46135.544050925928</v>
      </c>
      <c r="E77">
        <v>-0.01</v>
      </c>
      <c r="F77">
        <v>-0.01</v>
      </c>
      <c r="G77">
        <v>-0.23</v>
      </c>
      <c r="H77">
        <v>-0.23</v>
      </c>
      <c r="I77" t="s">
        <v>15</v>
      </c>
    </row>
    <row r="78" spans="1:9" x14ac:dyDescent="0.25">
      <c r="A78">
        <v>21412</v>
      </c>
      <c r="B78">
        <v>5.0076999999999998</v>
      </c>
      <c r="C78">
        <v>5.0083000000000002</v>
      </c>
      <c r="D78" s="7">
        <v>46136.546018518522</v>
      </c>
      <c r="E78">
        <v>0.05</v>
      </c>
      <c r="F78">
        <v>0.05</v>
      </c>
      <c r="G78">
        <v>1.1000000000000001</v>
      </c>
      <c r="H78">
        <v>1.1000000000000001</v>
      </c>
      <c r="I78" t="s">
        <v>15</v>
      </c>
    </row>
    <row r="79" spans="1:9" x14ac:dyDescent="0.25">
      <c r="A79">
        <v>21413</v>
      </c>
      <c r="B79">
        <v>4.9694000000000003</v>
      </c>
      <c r="C79">
        <v>4.97</v>
      </c>
      <c r="D79" s="7">
        <v>46139.545995370368</v>
      </c>
      <c r="E79">
        <v>-0.04</v>
      </c>
      <c r="F79">
        <v>-0.04</v>
      </c>
      <c r="G79">
        <v>-0.76</v>
      </c>
      <c r="H79">
        <v>-0.76</v>
      </c>
      <c r="I79" t="s">
        <v>15</v>
      </c>
    </row>
    <row r="80" spans="1:9" x14ac:dyDescent="0.25">
      <c r="A80">
        <v>21414</v>
      </c>
      <c r="B80">
        <v>4.9871999999999996</v>
      </c>
      <c r="C80">
        <v>4.9878</v>
      </c>
      <c r="D80" s="7">
        <v>46140.54891203704</v>
      </c>
      <c r="E80">
        <v>0.02</v>
      </c>
      <c r="F80">
        <v>0.02</v>
      </c>
      <c r="G80">
        <v>0.36</v>
      </c>
      <c r="H80">
        <v>0.36</v>
      </c>
      <c r="I80" t="s">
        <v>15</v>
      </c>
    </row>
    <row r="81" spans="1:9" x14ac:dyDescent="0.25">
      <c r="A81">
        <v>21415</v>
      </c>
      <c r="B81">
        <v>4.9978999999999996</v>
      </c>
      <c r="C81">
        <v>4.9984999999999999</v>
      </c>
      <c r="D81" s="7">
        <v>46141.54959490741</v>
      </c>
      <c r="E81">
        <v>0.01</v>
      </c>
      <c r="F81">
        <v>0.01</v>
      </c>
      <c r="G81">
        <v>0.21</v>
      </c>
      <c r="H81">
        <v>0.21</v>
      </c>
      <c r="I81" t="s">
        <v>15</v>
      </c>
    </row>
    <row r="82" spans="1:9" x14ac:dyDescent="0.25">
      <c r="A82">
        <v>21416</v>
      </c>
      <c r="B82">
        <v>4.9880000000000004</v>
      </c>
      <c r="C82">
        <v>4.9885999999999999</v>
      </c>
      <c r="D82" s="7">
        <v>46142.546157407407</v>
      </c>
      <c r="E82">
        <v>-0.01</v>
      </c>
      <c r="F82">
        <v>-0.01</v>
      </c>
      <c r="G82">
        <v>-0.2</v>
      </c>
      <c r="H82">
        <v>-0.2</v>
      </c>
      <c r="I82" t="s">
        <v>15</v>
      </c>
    </row>
    <row r="83" spans="1:9" x14ac:dyDescent="0.25">
      <c r="A83">
        <v>21417</v>
      </c>
      <c r="B83">
        <v>4.9581</v>
      </c>
      <c r="C83">
        <v>4.9587000000000003</v>
      </c>
      <c r="D83" s="7">
        <v>46146.548217592594</v>
      </c>
      <c r="E83">
        <v>-0.03</v>
      </c>
      <c r="F83">
        <v>-0.03</v>
      </c>
      <c r="G83">
        <v>-0.6</v>
      </c>
      <c r="H83">
        <v>-0.6</v>
      </c>
      <c r="I83" t="s">
        <v>15</v>
      </c>
    </row>
    <row r="84" spans="1:9" x14ac:dyDescent="0.25">
      <c r="A84">
        <v>21418</v>
      </c>
      <c r="B84">
        <v>4.9236000000000004</v>
      </c>
      <c r="C84">
        <v>4.9241999999999999</v>
      </c>
      <c r="D84" s="7">
        <v>46147.544745370367</v>
      </c>
      <c r="E84">
        <v>-0.03</v>
      </c>
      <c r="F84">
        <v>-0.03</v>
      </c>
      <c r="G84">
        <v>-0.7</v>
      </c>
      <c r="H84">
        <v>-0.7</v>
      </c>
      <c r="I84" t="s">
        <v>15</v>
      </c>
    </row>
    <row r="85" spans="1:9" x14ac:dyDescent="0.25">
      <c r="A85">
        <v>21419</v>
      </c>
      <c r="B85">
        <v>4.9268000000000001</v>
      </c>
      <c r="C85">
        <v>4.9273999999999996</v>
      </c>
      <c r="D85" s="7">
        <v>46148.547546296293</v>
      </c>
      <c r="E85">
        <v>0</v>
      </c>
      <c r="F85">
        <v>0</v>
      </c>
      <c r="G85">
        <v>0.06</v>
      </c>
      <c r="H85">
        <v>0.06</v>
      </c>
      <c r="I85" t="s">
        <v>15</v>
      </c>
    </row>
    <row r="86" spans="1:9" x14ac:dyDescent="0.25">
      <c r="A86">
        <v>21420</v>
      </c>
      <c r="B86">
        <v>4.9164000000000003</v>
      </c>
      <c r="C86">
        <v>4.9169999999999998</v>
      </c>
      <c r="D86" s="7">
        <v>46149.548252314817</v>
      </c>
      <c r="E86">
        <v>-0.01</v>
      </c>
      <c r="F86">
        <v>-0.01</v>
      </c>
      <c r="G86">
        <v>-0.21</v>
      </c>
      <c r="H86">
        <v>-0.21</v>
      </c>
      <c r="I86" t="s">
        <v>15</v>
      </c>
    </row>
    <row r="87" spans="1:9" x14ac:dyDescent="0.25">
      <c r="A87">
        <v>21421</v>
      </c>
      <c r="B87">
        <v>4.8993000000000002</v>
      </c>
      <c r="C87">
        <v>4.8998999999999997</v>
      </c>
      <c r="D87" s="7">
        <v>46150.54550925926</v>
      </c>
      <c r="E87">
        <v>-0.02</v>
      </c>
      <c r="F87">
        <v>-0.02</v>
      </c>
      <c r="G87">
        <v>-0.35</v>
      </c>
      <c r="H87">
        <v>-0.35</v>
      </c>
      <c r="I87" t="s">
        <v>15</v>
      </c>
    </row>
    <row r="88" spans="1:9" x14ac:dyDescent="0.25">
      <c r="A88">
        <v>21422</v>
      </c>
      <c r="B88">
        <v>4.8967000000000001</v>
      </c>
      <c r="C88">
        <v>4.8973000000000004</v>
      </c>
      <c r="D88" s="7">
        <v>46153.547511574077</v>
      </c>
      <c r="E88">
        <v>0</v>
      </c>
      <c r="F88">
        <v>0</v>
      </c>
      <c r="G88">
        <v>-0.05</v>
      </c>
      <c r="H88">
        <v>-0.05</v>
      </c>
      <c r="I88" t="s">
        <v>15</v>
      </c>
    </row>
    <row r="89" spans="1:9" x14ac:dyDescent="0.25">
      <c r="A89">
        <v>21423</v>
      </c>
      <c r="B89">
        <v>4.8971</v>
      </c>
      <c r="C89">
        <v>4.8977000000000004</v>
      </c>
      <c r="D89" s="7">
        <v>46154.549618055556</v>
      </c>
      <c r="E89">
        <v>0</v>
      </c>
      <c r="F89">
        <v>0</v>
      </c>
      <c r="G89">
        <v>0.01</v>
      </c>
      <c r="H89">
        <v>0.01</v>
      </c>
      <c r="I89" t="s">
        <v>15</v>
      </c>
    </row>
    <row r="90" spans="1:9" x14ac:dyDescent="0.25">
      <c r="A90">
        <v>21424</v>
      </c>
      <c r="B90">
        <v>4.9112</v>
      </c>
      <c r="C90">
        <v>4.9118000000000004</v>
      </c>
      <c r="D90" s="7">
        <v>46155.554108796299</v>
      </c>
      <c r="E90">
        <v>0.01</v>
      </c>
      <c r="F90">
        <v>0.01</v>
      </c>
      <c r="G90">
        <v>0.28999999999999998</v>
      </c>
      <c r="H90">
        <v>0.28999999999999998</v>
      </c>
      <c r="I90" t="s">
        <v>15</v>
      </c>
    </row>
    <row r="91" spans="1:9" x14ac:dyDescent="0.25">
      <c r="A91">
        <v>21425</v>
      </c>
      <c r="B91">
        <v>4.9802999999999997</v>
      </c>
      <c r="C91">
        <v>4.9809000000000001</v>
      </c>
      <c r="D91" s="7">
        <v>46156.543923611112</v>
      </c>
      <c r="E91">
        <v>7.0000000000000007E-2</v>
      </c>
      <c r="F91">
        <v>7.0000000000000007E-2</v>
      </c>
      <c r="G91">
        <v>1.41</v>
      </c>
      <c r="H91">
        <v>1.41</v>
      </c>
      <c r="I91" t="s">
        <v>15</v>
      </c>
    </row>
    <row r="92" spans="1:9" x14ac:dyDescent="0.25">
      <c r="A92">
        <v>21426</v>
      </c>
      <c r="B92">
        <v>5.0648</v>
      </c>
      <c r="C92">
        <v>5.0654000000000003</v>
      </c>
      <c r="D92" s="7">
        <v>46157.547534722224</v>
      </c>
      <c r="E92">
        <v>0.08</v>
      </c>
      <c r="F92">
        <v>0.08</v>
      </c>
      <c r="G92">
        <v>1.7</v>
      </c>
      <c r="H92">
        <v>1.7</v>
      </c>
      <c r="I92" t="s">
        <v>15</v>
      </c>
    </row>
    <row r="93" spans="1:9" x14ac:dyDescent="0.25">
      <c r="D93" s="7"/>
    </row>
    <row r="94" spans="1:9" x14ac:dyDescent="0.25">
      <c r="D94" s="7"/>
    </row>
    <row r="95" spans="1:9" x14ac:dyDescent="0.25">
      <c r="D95" s="7"/>
    </row>
    <row r="96" spans="1:9" x14ac:dyDescent="0.25">
      <c r="D96" s="7"/>
    </row>
    <row r="97" spans="4:4" x14ac:dyDescent="0.25">
      <c r="D97" s="7"/>
    </row>
    <row r="98" spans="4:4" x14ac:dyDescent="0.25">
      <c r="D98" s="7"/>
    </row>
    <row r="99" spans="4:4" x14ac:dyDescent="0.25">
      <c r="D99" s="7"/>
    </row>
    <row r="100" spans="4:4" x14ac:dyDescent="0.25">
      <c r="D100" s="7"/>
    </row>
    <row r="101" spans="4:4" x14ac:dyDescent="0.25">
      <c r="D101" s="7"/>
    </row>
    <row r="102" spans="4:4" x14ac:dyDescent="0.25">
      <c r="D102" s="7"/>
    </row>
    <row r="103" spans="4:4" x14ac:dyDescent="0.25">
      <c r="D103" s="7"/>
    </row>
    <row r="104" spans="4:4" x14ac:dyDescent="0.25">
      <c r="D104" s="7"/>
    </row>
    <row r="105" spans="4:4" x14ac:dyDescent="0.25">
      <c r="D105" s="7"/>
    </row>
    <row r="106" spans="4:4" x14ac:dyDescent="0.25">
      <c r="D106" s="7"/>
    </row>
    <row r="107" spans="4:4" x14ac:dyDescent="0.25">
      <c r="D107" s="7"/>
    </row>
    <row r="108" spans="4:4" x14ac:dyDescent="0.25">
      <c r="D108" s="7"/>
    </row>
    <row r="109" spans="4:4" x14ac:dyDescent="0.25">
      <c r="D109" s="7"/>
    </row>
    <row r="110" spans="4:4" x14ac:dyDescent="0.25">
      <c r="D110" s="7"/>
    </row>
    <row r="111" spans="4:4" x14ac:dyDescent="0.25">
      <c r="D111" s="7"/>
    </row>
    <row r="112" spans="4:4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7"/>
    </row>
    <row r="139" spans="4:4" x14ac:dyDescent="0.25">
      <c r="D139" s="7"/>
    </row>
    <row r="140" spans="4:4" x14ac:dyDescent="0.25">
      <c r="D140" s="7"/>
    </row>
    <row r="141" spans="4:4" x14ac:dyDescent="0.25">
      <c r="D141" s="7"/>
    </row>
    <row r="142" spans="4:4" x14ac:dyDescent="0.25">
      <c r="D142" s="7"/>
    </row>
    <row r="143" spans="4:4" x14ac:dyDescent="0.25">
      <c r="D143" s="7"/>
    </row>
    <row r="144" spans="4:4" x14ac:dyDescent="0.25">
      <c r="D144" s="7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7"/>
    </row>
    <row r="268" spans="4:4" x14ac:dyDescent="0.25">
      <c r="D268" s="7"/>
    </row>
    <row r="269" spans="4:4" x14ac:dyDescent="0.25">
      <c r="D269" s="7"/>
    </row>
    <row r="270" spans="4:4" x14ac:dyDescent="0.25">
      <c r="D270" s="7"/>
    </row>
    <row r="271" spans="4:4" x14ac:dyDescent="0.25">
      <c r="D271" s="7"/>
    </row>
    <row r="272" spans="4:4" x14ac:dyDescent="0.25">
      <c r="D272" s="7"/>
    </row>
    <row r="273" spans="4:4" x14ac:dyDescent="0.25">
      <c r="D273" s="7"/>
    </row>
    <row r="274" spans="4:4" x14ac:dyDescent="0.25">
      <c r="D274" s="7"/>
    </row>
    <row r="275" spans="4:4" x14ac:dyDescent="0.25">
      <c r="D275" s="7"/>
    </row>
    <row r="276" spans="4:4" x14ac:dyDescent="0.25">
      <c r="D276" s="7"/>
    </row>
    <row r="277" spans="4:4" x14ac:dyDescent="0.25">
      <c r="D277" s="7"/>
    </row>
    <row r="278" spans="4:4" x14ac:dyDescent="0.25">
      <c r="D278" s="7"/>
    </row>
    <row r="279" spans="4:4" x14ac:dyDescent="0.25">
      <c r="D279" s="7"/>
    </row>
    <row r="280" spans="4:4" x14ac:dyDescent="0.25">
      <c r="D280" s="7"/>
    </row>
    <row r="281" spans="4:4" x14ac:dyDescent="0.25">
      <c r="D281" s="7"/>
    </row>
    <row r="282" spans="4:4" x14ac:dyDescent="0.25">
      <c r="D282" s="7"/>
    </row>
    <row r="283" spans="4:4" x14ac:dyDescent="0.25">
      <c r="D283" s="7"/>
    </row>
    <row r="284" spans="4:4" x14ac:dyDescent="0.25">
      <c r="D284" s="7"/>
    </row>
    <row r="285" spans="4:4" x14ac:dyDescent="0.25">
      <c r="D285" s="7"/>
    </row>
    <row r="286" spans="4:4" x14ac:dyDescent="0.25">
      <c r="D286" s="7"/>
    </row>
    <row r="287" spans="4:4" x14ac:dyDescent="0.25">
      <c r="D287" s="7"/>
    </row>
    <row r="288" spans="4:4" x14ac:dyDescent="0.25">
      <c r="D288" s="7"/>
    </row>
    <row r="289" spans="4:4" x14ac:dyDescent="0.25">
      <c r="D289" s="7"/>
    </row>
    <row r="290" spans="4:4" x14ac:dyDescent="0.25">
      <c r="D290" s="7"/>
    </row>
    <row r="291" spans="4:4" x14ac:dyDescent="0.25">
      <c r="D291" s="7"/>
    </row>
    <row r="292" spans="4:4" x14ac:dyDescent="0.25">
      <c r="D292" s="7"/>
    </row>
    <row r="293" spans="4:4" x14ac:dyDescent="0.25">
      <c r="D293" s="7"/>
    </row>
    <row r="294" spans="4:4" x14ac:dyDescent="0.25">
      <c r="D294" s="7"/>
    </row>
    <row r="295" spans="4:4" x14ac:dyDescent="0.25">
      <c r="D295" s="7"/>
    </row>
    <row r="296" spans="4:4" x14ac:dyDescent="0.25">
      <c r="D296" s="7"/>
    </row>
    <row r="297" spans="4:4" x14ac:dyDescent="0.25">
      <c r="D297" s="7"/>
    </row>
    <row r="298" spans="4:4" x14ac:dyDescent="0.25">
      <c r="D298" s="7"/>
    </row>
    <row r="299" spans="4:4" x14ac:dyDescent="0.25">
      <c r="D299" s="7"/>
    </row>
    <row r="300" spans="4:4" x14ac:dyDescent="0.25">
      <c r="D300" s="7"/>
    </row>
    <row r="301" spans="4:4" x14ac:dyDescent="0.25">
      <c r="D301" s="7"/>
    </row>
    <row r="302" spans="4:4" x14ac:dyDescent="0.25">
      <c r="D302" s="7"/>
    </row>
    <row r="303" spans="4:4" x14ac:dyDescent="0.25">
      <c r="D303" s="7"/>
    </row>
    <row r="304" spans="4:4" x14ac:dyDescent="0.25">
      <c r="D304" s="7"/>
    </row>
    <row r="305" spans="4:4" x14ac:dyDescent="0.25">
      <c r="D305" s="7"/>
    </row>
    <row r="306" spans="4:4" x14ac:dyDescent="0.25">
      <c r="D306" s="7"/>
    </row>
    <row r="307" spans="4:4" x14ac:dyDescent="0.25">
      <c r="D307" s="7"/>
    </row>
    <row r="308" spans="4:4" x14ac:dyDescent="0.25">
      <c r="D308" s="7"/>
    </row>
    <row r="309" spans="4:4" x14ac:dyDescent="0.25">
      <c r="D309" s="7"/>
    </row>
    <row r="310" spans="4:4" x14ac:dyDescent="0.25">
      <c r="D310" s="7"/>
    </row>
    <row r="311" spans="4:4" x14ac:dyDescent="0.25">
      <c r="D311" s="7"/>
    </row>
    <row r="312" spans="4:4" x14ac:dyDescent="0.25">
      <c r="D312" s="7"/>
    </row>
    <row r="313" spans="4:4" x14ac:dyDescent="0.25">
      <c r="D313" s="7"/>
    </row>
    <row r="314" spans="4:4" x14ac:dyDescent="0.25">
      <c r="D314" s="7"/>
    </row>
    <row r="315" spans="4:4" x14ac:dyDescent="0.25">
      <c r="D315" s="7"/>
    </row>
    <row r="316" spans="4:4" x14ac:dyDescent="0.25">
      <c r="D316" s="7"/>
    </row>
    <row r="317" spans="4:4" x14ac:dyDescent="0.25">
      <c r="D317" s="7"/>
    </row>
    <row r="318" spans="4:4" x14ac:dyDescent="0.25">
      <c r="D318" s="7"/>
    </row>
    <row r="319" spans="4:4" x14ac:dyDescent="0.25">
      <c r="D319" s="7"/>
    </row>
    <row r="320" spans="4:4" x14ac:dyDescent="0.25">
      <c r="D320" s="7"/>
    </row>
    <row r="321" spans="4:4" x14ac:dyDescent="0.25">
      <c r="D321" s="7"/>
    </row>
    <row r="322" spans="4:4" x14ac:dyDescent="0.25">
      <c r="D322" s="7"/>
    </row>
    <row r="323" spans="4:4" x14ac:dyDescent="0.25">
      <c r="D323" s="7"/>
    </row>
    <row r="324" spans="4:4" x14ac:dyDescent="0.25">
      <c r="D324" s="7"/>
    </row>
    <row r="325" spans="4:4" x14ac:dyDescent="0.25">
      <c r="D325" s="7"/>
    </row>
    <row r="326" spans="4:4" x14ac:dyDescent="0.25">
      <c r="D326" s="7"/>
    </row>
    <row r="327" spans="4:4" x14ac:dyDescent="0.25">
      <c r="D327" s="7"/>
    </row>
    <row r="328" spans="4:4" x14ac:dyDescent="0.25">
      <c r="D328" s="7"/>
    </row>
    <row r="329" spans="4:4" x14ac:dyDescent="0.25">
      <c r="D329" s="7"/>
    </row>
    <row r="330" spans="4:4" x14ac:dyDescent="0.25">
      <c r="D330" s="7"/>
    </row>
    <row r="331" spans="4:4" x14ac:dyDescent="0.25">
      <c r="D331" s="7"/>
    </row>
    <row r="332" spans="4:4" x14ac:dyDescent="0.25">
      <c r="D332" s="7"/>
    </row>
    <row r="333" spans="4:4" x14ac:dyDescent="0.25">
      <c r="D333" s="7"/>
    </row>
    <row r="334" spans="4:4" x14ac:dyDescent="0.25">
      <c r="D334" s="7"/>
    </row>
    <row r="335" spans="4:4" x14ac:dyDescent="0.25">
      <c r="D335" s="7"/>
    </row>
    <row r="336" spans="4:4" x14ac:dyDescent="0.25">
      <c r="D336" s="7"/>
    </row>
    <row r="337" spans="4:4" x14ac:dyDescent="0.25">
      <c r="D337" s="7"/>
    </row>
    <row r="338" spans="4:4" x14ac:dyDescent="0.25">
      <c r="D338" s="7"/>
    </row>
    <row r="339" spans="4:4" x14ac:dyDescent="0.25">
      <c r="D339" s="7"/>
    </row>
    <row r="340" spans="4:4" x14ac:dyDescent="0.25">
      <c r="D340" s="7"/>
    </row>
    <row r="341" spans="4:4" x14ac:dyDescent="0.25">
      <c r="D341" s="7"/>
    </row>
    <row r="342" spans="4:4" x14ac:dyDescent="0.25">
      <c r="D342" s="7"/>
    </row>
    <row r="343" spans="4:4" x14ac:dyDescent="0.25">
      <c r="D343" s="7"/>
    </row>
    <row r="344" spans="4:4" x14ac:dyDescent="0.25">
      <c r="D344" s="7"/>
    </row>
    <row r="345" spans="4:4" x14ac:dyDescent="0.25">
      <c r="D345" s="7"/>
    </row>
    <row r="346" spans="4:4" x14ac:dyDescent="0.25">
      <c r="D346" s="7"/>
    </row>
    <row r="347" spans="4:4" x14ac:dyDescent="0.25">
      <c r="D347" s="7"/>
    </row>
    <row r="348" spans="4:4" x14ac:dyDescent="0.25">
      <c r="D348" s="7"/>
    </row>
    <row r="349" spans="4:4" x14ac:dyDescent="0.25">
      <c r="D349" s="7"/>
    </row>
    <row r="350" spans="4:4" x14ac:dyDescent="0.25">
      <c r="D350" s="7"/>
    </row>
    <row r="351" spans="4:4" x14ac:dyDescent="0.25">
      <c r="D351" s="7"/>
    </row>
    <row r="352" spans="4:4" x14ac:dyDescent="0.25">
      <c r="D352" s="7"/>
    </row>
    <row r="353" spans="4:4" x14ac:dyDescent="0.25">
      <c r="D353" s="7"/>
    </row>
    <row r="354" spans="4:4" x14ac:dyDescent="0.25">
      <c r="D354" s="7"/>
    </row>
    <row r="355" spans="4:4" x14ac:dyDescent="0.25">
      <c r="D355" s="7"/>
    </row>
    <row r="356" spans="4:4" x14ac:dyDescent="0.25">
      <c r="D356" s="7"/>
    </row>
    <row r="357" spans="4:4" x14ac:dyDescent="0.25">
      <c r="D357" s="7"/>
    </row>
    <row r="358" spans="4:4" x14ac:dyDescent="0.25">
      <c r="D358" s="7"/>
    </row>
    <row r="359" spans="4:4" x14ac:dyDescent="0.25">
      <c r="D359" s="7"/>
    </row>
    <row r="360" spans="4:4" x14ac:dyDescent="0.25">
      <c r="D360" s="7"/>
    </row>
    <row r="361" spans="4:4" x14ac:dyDescent="0.25">
      <c r="D361" s="7"/>
    </row>
    <row r="362" spans="4:4" x14ac:dyDescent="0.25">
      <c r="D362" s="7"/>
    </row>
    <row r="363" spans="4:4" x14ac:dyDescent="0.25">
      <c r="D363" s="7"/>
    </row>
    <row r="364" spans="4:4" x14ac:dyDescent="0.25">
      <c r="D364" s="7"/>
    </row>
    <row r="365" spans="4:4" x14ac:dyDescent="0.25">
      <c r="D365" s="7"/>
    </row>
    <row r="366" spans="4:4" x14ac:dyDescent="0.25">
      <c r="D366" s="7"/>
    </row>
    <row r="367" spans="4:4" x14ac:dyDescent="0.25">
      <c r="D367" s="7"/>
    </row>
    <row r="368" spans="4:4" x14ac:dyDescent="0.25">
      <c r="D368" s="7"/>
    </row>
    <row r="369" spans="4:4" x14ac:dyDescent="0.25">
      <c r="D369" s="7"/>
    </row>
    <row r="370" spans="4:4" x14ac:dyDescent="0.25">
      <c r="D370" s="7"/>
    </row>
    <row r="371" spans="4:4" x14ac:dyDescent="0.25">
      <c r="D371" s="7"/>
    </row>
    <row r="372" spans="4:4" x14ac:dyDescent="0.25">
      <c r="D372" s="7"/>
    </row>
    <row r="373" spans="4:4" x14ac:dyDescent="0.25">
      <c r="D373" s="7"/>
    </row>
    <row r="374" spans="4:4" x14ac:dyDescent="0.25">
      <c r="D374" s="7"/>
    </row>
    <row r="375" spans="4:4" x14ac:dyDescent="0.25">
      <c r="D375" s="7"/>
    </row>
    <row r="376" spans="4:4" x14ac:dyDescent="0.25">
      <c r="D376" s="7"/>
    </row>
    <row r="377" spans="4:4" x14ac:dyDescent="0.25">
      <c r="D377" s="7"/>
    </row>
    <row r="378" spans="4:4" x14ac:dyDescent="0.25">
      <c r="D378" s="7"/>
    </row>
    <row r="379" spans="4:4" x14ac:dyDescent="0.25">
      <c r="D379" s="7"/>
    </row>
    <row r="380" spans="4:4" x14ac:dyDescent="0.25">
      <c r="D380" s="7"/>
    </row>
    <row r="381" spans="4:4" x14ac:dyDescent="0.25">
      <c r="D381" s="7"/>
    </row>
    <row r="382" spans="4:4" x14ac:dyDescent="0.25">
      <c r="D382" s="7"/>
    </row>
    <row r="383" spans="4:4" x14ac:dyDescent="0.25">
      <c r="D383" s="7"/>
    </row>
    <row r="384" spans="4:4" x14ac:dyDescent="0.25">
      <c r="D384" s="7"/>
    </row>
    <row r="385" spans="4:4" x14ac:dyDescent="0.25">
      <c r="D385" s="7"/>
    </row>
    <row r="386" spans="4:4" x14ac:dyDescent="0.25">
      <c r="D386" s="7"/>
    </row>
    <row r="387" spans="4:4" x14ac:dyDescent="0.25">
      <c r="D387" s="7"/>
    </row>
    <row r="388" spans="4:4" x14ac:dyDescent="0.25">
      <c r="D388" s="7"/>
    </row>
    <row r="389" spans="4:4" x14ac:dyDescent="0.25">
      <c r="D389" s="7"/>
    </row>
    <row r="390" spans="4:4" x14ac:dyDescent="0.25">
      <c r="D390" s="7"/>
    </row>
    <row r="391" spans="4:4" x14ac:dyDescent="0.25">
      <c r="D391" s="7"/>
    </row>
    <row r="392" spans="4:4" x14ac:dyDescent="0.25">
      <c r="D392" s="7"/>
    </row>
    <row r="393" spans="4:4" x14ac:dyDescent="0.25">
      <c r="D393" s="7"/>
    </row>
    <row r="394" spans="4:4" x14ac:dyDescent="0.25">
      <c r="D394" s="7"/>
    </row>
    <row r="395" spans="4:4" x14ac:dyDescent="0.25">
      <c r="D395" s="7"/>
    </row>
    <row r="396" spans="4:4" x14ac:dyDescent="0.25">
      <c r="D396" s="7"/>
    </row>
    <row r="397" spans="4:4" x14ac:dyDescent="0.25">
      <c r="D397" s="7"/>
    </row>
    <row r="398" spans="4:4" x14ac:dyDescent="0.25">
      <c r="D398" s="7"/>
    </row>
    <row r="399" spans="4:4" x14ac:dyDescent="0.25">
      <c r="D399" s="7"/>
    </row>
    <row r="400" spans="4:4" x14ac:dyDescent="0.25">
      <c r="D400" s="7"/>
    </row>
    <row r="401" spans="4:4" x14ac:dyDescent="0.25">
      <c r="D401" s="7"/>
    </row>
    <row r="402" spans="4:4" x14ac:dyDescent="0.25">
      <c r="D402" s="7"/>
    </row>
    <row r="403" spans="4:4" x14ac:dyDescent="0.25">
      <c r="D403" s="7"/>
    </row>
    <row r="404" spans="4:4" x14ac:dyDescent="0.25">
      <c r="D404" s="7"/>
    </row>
    <row r="405" spans="4:4" x14ac:dyDescent="0.25">
      <c r="D405" s="7"/>
    </row>
    <row r="406" spans="4:4" x14ac:dyDescent="0.25">
      <c r="D406" s="7"/>
    </row>
    <row r="407" spans="4:4" x14ac:dyDescent="0.25">
      <c r="D407" s="7"/>
    </row>
    <row r="408" spans="4:4" x14ac:dyDescent="0.25">
      <c r="D408" s="7"/>
    </row>
    <row r="409" spans="4:4" x14ac:dyDescent="0.25">
      <c r="D409" s="7"/>
    </row>
    <row r="410" spans="4:4" x14ac:dyDescent="0.25">
      <c r="D410" s="7"/>
    </row>
    <row r="411" spans="4:4" x14ac:dyDescent="0.25">
      <c r="D411" s="7"/>
    </row>
    <row r="412" spans="4:4" x14ac:dyDescent="0.25">
      <c r="D412" s="7"/>
    </row>
    <row r="413" spans="4:4" x14ac:dyDescent="0.25">
      <c r="D413" s="7"/>
    </row>
    <row r="414" spans="4:4" x14ac:dyDescent="0.25">
      <c r="D414" s="7"/>
    </row>
    <row r="415" spans="4:4" x14ac:dyDescent="0.25">
      <c r="D415" s="7"/>
    </row>
    <row r="416" spans="4:4" x14ac:dyDescent="0.25">
      <c r="D416" s="7"/>
    </row>
    <row r="417" spans="4:4" x14ac:dyDescent="0.25">
      <c r="D417" s="7"/>
    </row>
    <row r="418" spans="4:4" x14ac:dyDescent="0.25">
      <c r="D418" s="7"/>
    </row>
    <row r="419" spans="4:4" x14ac:dyDescent="0.25">
      <c r="D419" s="7"/>
    </row>
    <row r="420" spans="4:4" x14ac:dyDescent="0.25">
      <c r="D420" s="7"/>
    </row>
    <row r="421" spans="4:4" x14ac:dyDescent="0.25">
      <c r="D421" s="7"/>
    </row>
    <row r="422" spans="4:4" x14ac:dyDescent="0.25">
      <c r="D422" s="7"/>
    </row>
    <row r="423" spans="4:4" x14ac:dyDescent="0.25">
      <c r="D423" s="7"/>
    </row>
    <row r="424" spans="4:4" x14ac:dyDescent="0.25">
      <c r="D424" s="7"/>
    </row>
    <row r="425" spans="4:4" x14ac:dyDescent="0.25">
      <c r="D425" s="7"/>
    </row>
    <row r="426" spans="4:4" x14ac:dyDescent="0.25">
      <c r="D426" s="7"/>
    </row>
    <row r="427" spans="4:4" x14ac:dyDescent="0.25">
      <c r="D427" s="7"/>
    </row>
    <row r="428" spans="4:4" x14ac:dyDescent="0.25">
      <c r="D428" s="7"/>
    </row>
    <row r="429" spans="4:4" x14ac:dyDescent="0.25">
      <c r="D429" s="7"/>
    </row>
    <row r="430" spans="4:4" x14ac:dyDescent="0.25">
      <c r="D430" s="7"/>
    </row>
    <row r="431" spans="4:4" x14ac:dyDescent="0.25">
      <c r="D431" s="7"/>
    </row>
    <row r="432" spans="4:4" x14ac:dyDescent="0.25">
      <c r="D432" s="7"/>
    </row>
    <row r="433" spans="4:4" x14ac:dyDescent="0.25">
      <c r="D433" s="7"/>
    </row>
    <row r="434" spans="4:4" x14ac:dyDescent="0.25">
      <c r="D434" s="7"/>
    </row>
    <row r="435" spans="4:4" x14ac:dyDescent="0.25">
      <c r="D435" s="7"/>
    </row>
    <row r="436" spans="4:4" x14ac:dyDescent="0.25">
      <c r="D436" s="7"/>
    </row>
    <row r="437" spans="4:4" x14ac:dyDescent="0.25">
      <c r="D437" s="7"/>
    </row>
    <row r="438" spans="4:4" x14ac:dyDescent="0.25">
      <c r="D438" s="7"/>
    </row>
    <row r="439" spans="4:4" x14ac:dyDescent="0.25">
      <c r="D439" s="7"/>
    </row>
    <row r="440" spans="4:4" x14ac:dyDescent="0.25">
      <c r="D440" s="7"/>
    </row>
    <row r="441" spans="4:4" x14ac:dyDescent="0.25">
      <c r="D441" s="7"/>
    </row>
    <row r="442" spans="4:4" x14ac:dyDescent="0.25">
      <c r="D442" s="7"/>
    </row>
    <row r="443" spans="4:4" x14ac:dyDescent="0.25">
      <c r="D443" s="7"/>
    </row>
    <row r="444" spans="4:4" x14ac:dyDescent="0.25">
      <c r="D444" s="7"/>
    </row>
    <row r="445" spans="4:4" x14ac:dyDescent="0.25">
      <c r="D445" s="7"/>
    </row>
    <row r="446" spans="4:4" x14ac:dyDescent="0.25">
      <c r="D446" s="7"/>
    </row>
    <row r="447" spans="4:4" x14ac:dyDescent="0.25">
      <c r="D447" s="7"/>
    </row>
    <row r="448" spans="4:4" x14ac:dyDescent="0.25">
      <c r="D448" s="7"/>
    </row>
    <row r="449" spans="4:4" x14ac:dyDescent="0.25">
      <c r="D449" s="7"/>
    </row>
    <row r="450" spans="4:4" x14ac:dyDescent="0.25">
      <c r="D450" s="7"/>
    </row>
    <row r="451" spans="4:4" x14ac:dyDescent="0.25">
      <c r="D451" s="7"/>
    </row>
    <row r="452" spans="4:4" x14ac:dyDescent="0.25">
      <c r="D452" s="7"/>
    </row>
    <row r="453" spans="4:4" x14ac:dyDescent="0.25">
      <c r="D453" s="7"/>
    </row>
    <row r="454" spans="4:4" x14ac:dyDescent="0.25">
      <c r="D454" s="7"/>
    </row>
    <row r="455" spans="4:4" x14ac:dyDescent="0.25">
      <c r="D455" s="7"/>
    </row>
    <row r="456" spans="4:4" x14ac:dyDescent="0.25">
      <c r="D456" s="7"/>
    </row>
    <row r="457" spans="4:4" x14ac:dyDescent="0.25">
      <c r="D457" s="7"/>
    </row>
    <row r="458" spans="4:4" x14ac:dyDescent="0.25">
      <c r="D458" s="7"/>
    </row>
    <row r="459" spans="4:4" x14ac:dyDescent="0.25">
      <c r="D459" s="7"/>
    </row>
    <row r="460" spans="4:4" x14ac:dyDescent="0.25">
      <c r="D460" s="7"/>
    </row>
    <row r="461" spans="4:4" x14ac:dyDescent="0.25">
      <c r="D461" s="7"/>
    </row>
    <row r="462" spans="4:4" x14ac:dyDescent="0.25">
      <c r="D462" s="7"/>
    </row>
    <row r="463" spans="4:4" x14ac:dyDescent="0.25">
      <c r="D463" s="7"/>
    </row>
    <row r="464" spans="4:4" x14ac:dyDescent="0.25">
      <c r="D464" s="7"/>
    </row>
    <row r="465" spans="4:4" x14ac:dyDescent="0.25">
      <c r="D465" s="7"/>
    </row>
    <row r="466" spans="4:4" x14ac:dyDescent="0.25">
      <c r="D466" s="7"/>
    </row>
    <row r="467" spans="4:4" x14ac:dyDescent="0.25">
      <c r="D467" s="7"/>
    </row>
    <row r="468" spans="4:4" x14ac:dyDescent="0.25">
      <c r="D468" s="7"/>
    </row>
    <row r="469" spans="4:4" x14ac:dyDescent="0.25">
      <c r="D469" s="7"/>
    </row>
    <row r="470" spans="4:4" x14ac:dyDescent="0.25">
      <c r="D470" s="7"/>
    </row>
    <row r="471" spans="4:4" x14ac:dyDescent="0.25">
      <c r="D471" s="7"/>
    </row>
    <row r="472" spans="4:4" x14ac:dyDescent="0.25">
      <c r="D472" s="7"/>
    </row>
    <row r="473" spans="4:4" x14ac:dyDescent="0.25">
      <c r="D473" s="7"/>
    </row>
    <row r="474" spans="4:4" x14ac:dyDescent="0.25">
      <c r="D474" s="7"/>
    </row>
    <row r="475" spans="4:4" x14ac:dyDescent="0.25">
      <c r="D475" s="7"/>
    </row>
    <row r="476" spans="4:4" x14ac:dyDescent="0.25">
      <c r="D476" s="7"/>
    </row>
    <row r="477" spans="4:4" x14ac:dyDescent="0.25">
      <c r="D477" s="7"/>
    </row>
    <row r="478" spans="4:4" x14ac:dyDescent="0.25">
      <c r="D478" s="7"/>
    </row>
    <row r="479" spans="4:4" x14ac:dyDescent="0.25">
      <c r="D479" s="7"/>
    </row>
    <row r="480" spans="4:4" x14ac:dyDescent="0.25">
      <c r="D480" s="7"/>
    </row>
    <row r="481" spans="4:4" x14ac:dyDescent="0.25">
      <c r="D481" s="7"/>
    </row>
    <row r="482" spans="4:4" x14ac:dyDescent="0.25">
      <c r="D482" s="7"/>
    </row>
    <row r="483" spans="4:4" x14ac:dyDescent="0.25">
      <c r="D483" s="7"/>
    </row>
    <row r="484" spans="4:4" x14ac:dyDescent="0.25">
      <c r="D484" s="7"/>
    </row>
    <row r="485" spans="4:4" x14ac:dyDescent="0.25">
      <c r="D485" s="7"/>
    </row>
    <row r="486" spans="4:4" x14ac:dyDescent="0.25">
      <c r="D486" s="7"/>
    </row>
    <row r="487" spans="4:4" x14ac:dyDescent="0.25">
      <c r="D487" s="7"/>
    </row>
    <row r="488" spans="4:4" x14ac:dyDescent="0.25">
      <c r="D488" s="7"/>
    </row>
    <row r="489" spans="4:4" x14ac:dyDescent="0.25">
      <c r="D489" s="7"/>
    </row>
    <row r="490" spans="4:4" x14ac:dyDescent="0.25">
      <c r="D490" s="7"/>
    </row>
    <row r="491" spans="4:4" x14ac:dyDescent="0.25">
      <c r="D491" s="7"/>
    </row>
    <row r="492" spans="4:4" x14ac:dyDescent="0.25">
      <c r="D492" s="7"/>
    </row>
    <row r="493" spans="4:4" x14ac:dyDescent="0.25">
      <c r="D493" s="7"/>
    </row>
    <row r="494" spans="4:4" x14ac:dyDescent="0.25">
      <c r="D494" s="7"/>
    </row>
    <row r="495" spans="4:4" x14ac:dyDescent="0.25">
      <c r="D495" s="7"/>
    </row>
    <row r="496" spans="4:4" x14ac:dyDescent="0.25">
      <c r="D496" s="7"/>
    </row>
    <row r="497" spans="4:4" x14ac:dyDescent="0.25">
      <c r="D497" s="7"/>
    </row>
    <row r="498" spans="4:4" x14ac:dyDescent="0.25">
      <c r="D498" s="7"/>
    </row>
    <row r="499" spans="4:4" x14ac:dyDescent="0.25">
      <c r="D499" s="7"/>
    </row>
    <row r="500" spans="4:4" x14ac:dyDescent="0.25">
      <c r="D500" s="7"/>
    </row>
    <row r="501" spans="4:4" x14ac:dyDescent="0.25">
      <c r="D501" s="7"/>
    </row>
    <row r="502" spans="4:4" x14ac:dyDescent="0.25">
      <c r="D502" s="7"/>
    </row>
    <row r="503" spans="4:4" x14ac:dyDescent="0.25">
      <c r="D503" s="7"/>
    </row>
    <row r="504" spans="4:4" x14ac:dyDescent="0.25">
      <c r="D504" s="7"/>
    </row>
    <row r="505" spans="4:4" x14ac:dyDescent="0.25">
      <c r="D505" s="7"/>
    </row>
    <row r="506" spans="4:4" x14ac:dyDescent="0.25">
      <c r="D506" s="7"/>
    </row>
    <row r="507" spans="4:4" x14ac:dyDescent="0.25">
      <c r="D507" s="7"/>
    </row>
    <row r="508" spans="4:4" x14ac:dyDescent="0.25">
      <c r="D508" s="7"/>
    </row>
    <row r="509" spans="4:4" x14ac:dyDescent="0.25">
      <c r="D509" s="7"/>
    </row>
    <row r="510" spans="4:4" x14ac:dyDescent="0.25">
      <c r="D510" s="7"/>
    </row>
    <row r="511" spans="4:4" x14ac:dyDescent="0.25">
      <c r="D511" s="7"/>
    </row>
    <row r="512" spans="4:4" x14ac:dyDescent="0.25">
      <c r="D512" s="7"/>
    </row>
    <row r="513" spans="4:4" x14ac:dyDescent="0.25">
      <c r="D513" s="7"/>
    </row>
    <row r="514" spans="4:4" x14ac:dyDescent="0.25">
      <c r="D514" s="7"/>
    </row>
    <row r="515" spans="4:4" x14ac:dyDescent="0.25">
      <c r="D515" s="7"/>
    </row>
    <row r="516" spans="4:4" x14ac:dyDescent="0.25">
      <c r="D516" s="7"/>
    </row>
    <row r="517" spans="4:4" x14ac:dyDescent="0.25">
      <c r="D517" s="7"/>
    </row>
    <row r="518" spans="4:4" x14ac:dyDescent="0.25">
      <c r="D518" s="7"/>
    </row>
    <row r="519" spans="4:4" x14ac:dyDescent="0.25">
      <c r="D519" s="7"/>
    </row>
    <row r="520" spans="4:4" x14ac:dyDescent="0.25">
      <c r="D520" s="7"/>
    </row>
    <row r="521" spans="4:4" x14ac:dyDescent="0.25">
      <c r="D521" s="7"/>
    </row>
    <row r="522" spans="4:4" x14ac:dyDescent="0.25">
      <c r="D522" s="7"/>
    </row>
    <row r="523" spans="4:4" x14ac:dyDescent="0.25">
      <c r="D523" s="7"/>
    </row>
    <row r="524" spans="4:4" x14ac:dyDescent="0.25">
      <c r="D524" s="7"/>
    </row>
    <row r="525" spans="4:4" x14ac:dyDescent="0.25">
      <c r="D525" s="7"/>
    </row>
    <row r="526" spans="4:4" x14ac:dyDescent="0.25">
      <c r="D526" s="7"/>
    </row>
    <row r="527" spans="4:4" x14ac:dyDescent="0.25">
      <c r="D527" s="7"/>
    </row>
    <row r="528" spans="4:4" x14ac:dyDescent="0.25">
      <c r="D528" s="7"/>
    </row>
    <row r="529" spans="4:4" x14ac:dyDescent="0.25">
      <c r="D529" s="7"/>
    </row>
    <row r="530" spans="4:4" x14ac:dyDescent="0.25">
      <c r="D530" s="7"/>
    </row>
    <row r="531" spans="4:4" x14ac:dyDescent="0.25">
      <c r="D531" s="7"/>
    </row>
    <row r="532" spans="4:4" x14ac:dyDescent="0.25">
      <c r="D532" s="7"/>
    </row>
    <row r="533" spans="4:4" x14ac:dyDescent="0.25">
      <c r="D533" s="7"/>
    </row>
    <row r="534" spans="4:4" x14ac:dyDescent="0.25">
      <c r="D534" s="7"/>
    </row>
    <row r="535" spans="4:4" x14ac:dyDescent="0.25">
      <c r="D535" s="7"/>
    </row>
    <row r="536" spans="4:4" x14ac:dyDescent="0.25">
      <c r="D536" s="7"/>
    </row>
    <row r="537" spans="4:4" x14ac:dyDescent="0.25">
      <c r="D537" s="7"/>
    </row>
    <row r="538" spans="4:4" x14ac:dyDescent="0.25">
      <c r="D538" s="7"/>
    </row>
    <row r="539" spans="4:4" x14ac:dyDescent="0.25">
      <c r="D539" s="7"/>
    </row>
    <row r="540" spans="4:4" x14ac:dyDescent="0.25">
      <c r="D540" s="7"/>
    </row>
    <row r="541" spans="4:4" x14ac:dyDescent="0.25">
      <c r="D541" s="7"/>
    </row>
    <row r="542" spans="4:4" x14ac:dyDescent="0.25">
      <c r="D542" s="7"/>
    </row>
    <row r="543" spans="4:4" x14ac:dyDescent="0.25">
      <c r="D543" s="7"/>
    </row>
    <row r="544" spans="4:4" x14ac:dyDescent="0.25">
      <c r="D544" s="7"/>
    </row>
    <row r="545" spans="4:4" x14ac:dyDescent="0.25">
      <c r="D545" s="7"/>
    </row>
    <row r="546" spans="4:4" x14ac:dyDescent="0.25">
      <c r="D546" s="7"/>
    </row>
    <row r="547" spans="4:4" x14ac:dyDescent="0.25">
      <c r="D547" s="7"/>
    </row>
    <row r="548" spans="4:4" x14ac:dyDescent="0.25">
      <c r="D548" s="7"/>
    </row>
    <row r="549" spans="4:4" x14ac:dyDescent="0.25">
      <c r="D549" s="7"/>
    </row>
    <row r="550" spans="4:4" x14ac:dyDescent="0.25">
      <c r="D550" s="7"/>
    </row>
    <row r="551" spans="4:4" x14ac:dyDescent="0.25">
      <c r="D551" s="7"/>
    </row>
    <row r="552" spans="4:4" x14ac:dyDescent="0.25">
      <c r="D552" s="7"/>
    </row>
    <row r="553" spans="4:4" x14ac:dyDescent="0.25">
      <c r="D553" s="7"/>
    </row>
    <row r="554" spans="4:4" x14ac:dyDescent="0.25">
      <c r="D554" s="7"/>
    </row>
    <row r="555" spans="4:4" x14ac:dyDescent="0.25">
      <c r="D555" s="7"/>
    </row>
    <row r="556" spans="4:4" x14ac:dyDescent="0.25">
      <c r="D556" s="7"/>
    </row>
    <row r="557" spans="4:4" x14ac:dyDescent="0.25">
      <c r="D557" s="7"/>
    </row>
    <row r="558" spans="4:4" x14ac:dyDescent="0.25">
      <c r="D558" s="7"/>
    </row>
    <row r="559" spans="4:4" x14ac:dyDescent="0.25">
      <c r="D559" s="7"/>
    </row>
    <row r="560" spans="4:4" x14ac:dyDescent="0.25">
      <c r="D560" s="7"/>
    </row>
    <row r="561" spans="4:4" x14ac:dyDescent="0.25">
      <c r="D561" s="7"/>
    </row>
    <row r="562" spans="4:4" x14ac:dyDescent="0.25">
      <c r="D562" s="7"/>
    </row>
    <row r="563" spans="4:4" x14ac:dyDescent="0.25">
      <c r="D563" s="7"/>
    </row>
    <row r="564" spans="4:4" x14ac:dyDescent="0.25">
      <c r="D564" s="7"/>
    </row>
    <row r="565" spans="4:4" x14ac:dyDescent="0.25">
      <c r="D565" s="7"/>
    </row>
    <row r="566" spans="4:4" x14ac:dyDescent="0.25">
      <c r="D566" s="7"/>
    </row>
    <row r="567" spans="4:4" x14ac:dyDescent="0.25">
      <c r="D567" s="7"/>
    </row>
    <row r="568" spans="4:4" x14ac:dyDescent="0.25">
      <c r="D568" s="7"/>
    </row>
    <row r="569" spans="4:4" x14ac:dyDescent="0.25">
      <c r="D569" s="7"/>
    </row>
    <row r="570" spans="4:4" x14ac:dyDescent="0.25">
      <c r="D570" s="7"/>
    </row>
    <row r="571" spans="4:4" x14ac:dyDescent="0.25">
      <c r="D571" s="7"/>
    </row>
    <row r="572" spans="4:4" x14ac:dyDescent="0.25">
      <c r="D572" s="7"/>
    </row>
    <row r="573" spans="4:4" x14ac:dyDescent="0.25">
      <c r="D573" s="7"/>
    </row>
    <row r="574" spans="4:4" x14ac:dyDescent="0.25">
      <c r="D574" s="7"/>
    </row>
    <row r="575" spans="4:4" x14ac:dyDescent="0.25">
      <c r="D575" s="7"/>
    </row>
    <row r="576" spans="4:4" x14ac:dyDescent="0.25">
      <c r="D576" s="7"/>
    </row>
    <row r="577" spans="4:4" x14ac:dyDescent="0.25">
      <c r="D577" s="7"/>
    </row>
    <row r="578" spans="4:4" x14ac:dyDescent="0.25">
      <c r="D578" s="7"/>
    </row>
    <row r="579" spans="4:4" x14ac:dyDescent="0.25">
      <c r="D579" s="7"/>
    </row>
    <row r="580" spans="4:4" x14ac:dyDescent="0.25">
      <c r="D580" s="7"/>
    </row>
    <row r="581" spans="4:4" x14ac:dyDescent="0.25">
      <c r="D581" s="7"/>
    </row>
    <row r="582" spans="4:4" x14ac:dyDescent="0.25">
      <c r="D582" s="7"/>
    </row>
    <row r="583" spans="4:4" x14ac:dyDescent="0.25">
      <c r="D583" s="7"/>
    </row>
    <row r="584" spans="4:4" x14ac:dyDescent="0.25">
      <c r="D584" s="7"/>
    </row>
    <row r="585" spans="4:4" x14ac:dyDescent="0.25">
      <c r="D585" s="7"/>
    </row>
    <row r="586" spans="4:4" x14ac:dyDescent="0.25">
      <c r="D586" s="7"/>
    </row>
    <row r="587" spans="4:4" x14ac:dyDescent="0.25">
      <c r="D587" s="7"/>
    </row>
    <row r="588" spans="4:4" x14ac:dyDescent="0.25">
      <c r="D588" s="7"/>
    </row>
    <row r="589" spans="4:4" x14ac:dyDescent="0.25">
      <c r="D589" s="7"/>
    </row>
    <row r="590" spans="4:4" x14ac:dyDescent="0.25">
      <c r="D590" s="7"/>
    </row>
    <row r="591" spans="4:4" x14ac:dyDescent="0.25">
      <c r="D591" s="7"/>
    </row>
    <row r="592" spans="4:4" x14ac:dyDescent="0.25">
      <c r="D592" s="7"/>
    </row>
    <row r="593" spans="4:4" x14ac:dyDescent="0.25">
      <c r="D593" s="7"/>
    </row>
    <row r="594" spans="4:4" x14ac:dyDescent="0.25">
      <c r="D594" s="7"/>
    </row>
    <row r="595" spans="4:4" x14ac:dyDescent="0.25">
      <c r="D595" s="7"/>
    </row>
    <row r="596" spans="4:4" x14ac:dyDescent="0.25">
      <c r="D596" s="7"/>
    </row>
    <row r="597" spans="4:4" x14ac:dyDescent="0.25">
      <c r="D597" s="7"/>
    </row>
    <row r="598" spans="4:4" x14ac:dyDescent="0.25">
      <c r="D598" s="7"/>
    </row>
    <row r="599" spans="4:4" x14ac:dyDescent="0.25">
      <c r="D599" s="7"/>
    </row>
    <row r="600" spans="4:4" x14ac:dyDescent="0.25">
      <c r="D600" s="7"/>
    </row>
    <row r="601" spans="4:4" x14ac:dyDescent="0.25">
      <c r="D601" s="7"/>
    </row>
    <row r="602" spans="4:4" x14ac:dyDescent="0.25">
      <c r="D602" s="7"/>
    </row>
    <row r="603" spans="4:4" x14ac:dyDescent="0.25">
      <c r="D603" s="7"/>
    </row>
    <row r="604" spans="4:4" x14ac:dyDescent="0.25">
      <c r="D604" s="7"/>
    </row>
    <row r="605" spans="4:4" x14ac:dyDescent="0.25">
      <c r="D605" s="7"/>
    </row>
    <row r="606" spans="4:4" x14ac:dyDescent="0.25">
      <c r="D606" s="7"/>
    </row>
    <row r="607" spans="4:4" x14ac:dyDescent="0.25">
      <c r="D607" s="7"/>
    </row>
    <row r="608" spans="4:4" x14ac:dyDescent="0.25">
      <c r="D608" s="7"/>
    </row>
    <row r="609" spans="4:4" x14ac:dyDescent="0.25">
      <c r="D609" s="7"/>
    </row>
    <row r="610" spans="4:4" x14ac:dyDescent="0.25">
      <c r="D610" s="7"/>
    </row>
    <row r="611" spans="4:4" x14ac:dyDescent="0.25">
      <c r="D611" s="7"/>
    </row>
    <row r="612" spans="4:4" x14ac:dyDescent="0.25">
      <c r="D612" s="7"/>
    </row>
    <row r="613" spans="4:4" x14ac:dyDescent="0.25">
      <c r="D613" s="7"/>
    </row>
    <row r="614" spans="4:4" x14ac:dyDescent="0.25">
      <c r="D614" s="7"/>
    </row>
    <row r="615" spans="4:4" x14ac:dyDescent="0.25">
      <c r="D615" s="7"/>
    </row>
    <row r="616" spans="4:4" x14ac:dyDescent="0.25">
      <c r="D616" s="7"/>
    </row>
    <row r="617" spans="4:4" x14ac:dyDescent="0.25">
      <c r="D617" s="7"/>
    </row>
    <row r="618" spans="4:4" x14ac:dyDescent="0.25">
      <c r="D618" s="7"/>
    </row>
    <row r="619" spans="4:4" x14ac:dyDescent="0.25">
      <c r="D619" s="7"/>
    </row>
    <row r="620" spans="4:4" x14ac:dyDescent="0.25">
      <c r="D620" s="7"/>
    </row>
    <row r="621" spans="4:4" x14ac:dyDescent="0.25">
      <c r="D621" s="7"/>
    </row>
    <row r="622" spans="4:4" x14ac:dyDescent="0.25">
      <c r="D622" s="7"/>
    </row>
    <row r="623" spans="4:4" x14ac:dyDescent="0.25">
      <c r="D623" s="7"/>
    </row>
    <row r="624" spans="4:4" x14ac:dyDescent="0.25">
      <c r="D624" s="7"/>
    </row>
    <row r="625" spans="4:4" x14ac:dyDescent="0.25">
      <c r="D625" s="7"/>
    </row>
    <row r="626" spans="4:4" x14ac:dyDescent="0.25">
      <c r="D626" s="7"/>
    </row>
    <row r="627" spans="4:4" x14ac:dyDescent="0.25">
      <c r="D627" s="7"/>
    </row>
    <row r="628" spans="4:4" x14ac:dyDescent="0.25">
      <c r="D628" s="7"/>
    </row>
    <row r="629" spans="4:4" x14ac:dyDescent="0.25">
      <c r="D629" s="7"/>
    </row>
    <row r="630" spans="4:4" x14ac:dyDescent="0.25">
      <c r="D630" s="7"/>
    </row>
    <row r="631" spans="4:4" x14ac:dyDescent="0.25">
      <c r="D631" s="7"/>
    </row>
    <row r="632" spans="4:4" x14ac:dyDescent="0.25">
      <c r="D632" s="7"/>
    </row>
    <row r="633" spans="4:4" x14ac:dyDescent="0.25">
      <c r="D633" s="7"/>
    </row>
    <row r="634" spans="4:4" x14ac:dyDescent="0.25">
      <c r="D634" s="7"/>
    </row>
    <row r="635" spans="4:4" x14ac:dyDescent="0.25">
      <c r="D635" s="7"/>
    </row>
    <row r="636" spans="4:4" x14ac:dyDescent="0.25">
      <c r="D636" s="7"/>
    </row>
    <row r="637" spans="4:4" x14ac:dyDescent="0.25">
      <c r="D637" s="7"/>
    </row>
    <row r="638" spans="4:4" x14ac:dyDescent="0.25">
      <c r="D638" s="7"/>
    </row>
    <row r="639" spans="4:4" x14ac:dyDescent="0.25">
      <c r="D639" s="7"/>
    </row>
    <row r="640" spans="4:4" x14ac:dyDescent="0.25">
      <c r="D640" s="7"/>
    </row>
    <row r="641" spans="4:4" x14ac:dyDescent="0.25">
      <c r="D641" s="7"/>
    </row>
    <row r="642" spans="4:4" x14ac:dyDescent="0.25">
      <c r="D642" s="7"/>
    </row>
    <row r="643" spans="4:4" x14ac:dyDescent="0.25">
      <c r="D643" s="7"/>
    </row>
    <row r="644" spans="4:4" x14ac:dyDescent="0.25">
      <c r="D644" s="7"/>
    </row>
    <row r="645" spans="4:4" x14ac:dyDescent="0.25">
      <c r="D645" s="7"/>
    </row>
    <row r="646" spans="4:4" x14ac:dyDescent="0.25">
      <c r="D646" s="7"/>
    </row>
    <row r="647" spans="4:4" x14ac:dyDescent="0.25">
      <c r="D647" s="7"/>
    </row>
    <row r="648" spans="4:4" x14ac:dyDescent="0.25">
      <c r="D648" s="7"/>
    </row>
    <row r="649" spans="4:4" x14ac:dyDescent="0.25">
      <c r="D649" s="7"/>
    </row>
    <row r="650" spans="4:4" x14ac:dyDescent="0.25">
      <c r="D650" s="7"/>
    </row>
    <row r="651" spans="4:4" x14ac:dyDescent="0.25">
      <c r="D651" s="7"/>
    </row>
    <row r="652" spans="4:4" x14ac:dyDescent="0.25">
      <c r="D652" s="7"/>
    </row>
    <row r="653" spans="4:4" x14ac:dyDescent="0.25">
      <c r="D653" s="7"/>
    </row>
    <row r="654" spans="4:4" x14ac:dyDescent="0.25">
      <c r="D654" s="7"/>
    </row>
    <row r="655" spans="4:4" x14ac:dyDescent="0.25">
      <c r="D655" s="7"/>
    </row>
    <row r="656" spans="4:4" x14ac:dyDescent="0.25">
      <c r="D656" s="7"/>
    </row>
    <row r="657" spans="4:4" x14ac:dyDescent="0.25">
      <c r="D657" s="7"/>
    </row>
    <row r="658" spans="4:4" x14ac:dyDescent="0.25">
      <c r="D658" s="7"/>
    </row>
    <row r="659" spans="4:4" x14ac:dyDescent="0.25">
      <c r="D659" s="7"/>
    </row>
    <row r="660" spans="4:4" x14ac:dyDescent="0.25">
      <c r="D660" s="7"/>
    </row>
    <row r="661" spans="4:4" x14ac:dyDescent="0.25">
      <c r="D661" s="7"/>
    </row>
    <row r="662" spans="4:4" x14ac:dyDescent="0.25">
      <c r="D662" s="7"/>
    </row>
    <row r="663" spans="4:4" x14ac:dyDescent="0.25">
      <c r="D663" s="7"/>
    </row>
    <row r="664" spans="4:4" x14ac:dyDescent="0.25">
      <c r="D664" s="7"/>
    </row>
    <row r="665" spans="4:4" x14ac:dyDescent="0.25">
      <c r="D665" s="7"/>
    </row>
    <row r="666" spans="4:4" x14ac:dyDescent="0.25">
      <c r="D666" s="7"/>
    </row>
    <row r="667" spans="4:4" x14ac:dyDescent="0.25">
      <c r="D667" s="7"/>
    </row>
    <row r="668" spans="4:4" x14ac:dyDescent="0.25">
      <c r="D668" s="7"/>
    </row>
    <row r="669" spans="4:4" x14ac:dyDescent="0.25">
      <c r="D669" s="7"/>
    </row>
    <row r="670" spans="4:4" x14ac:dyDescent="0.25">
      <c r="D670" s="7"/>
    </row>
    <row r="671" spans="4:4" x14ac:dyDescent="0.25">
      <c r="D671" s="7"/>
    </row>
    <row r="672" spans="4:4" x14ac:dyDescent="0.25">
      <c r="D672" s="7"/>
    </row>
    <row r="673" spans="4:4" x14ac:dyDescent="0.25">
      <c r="D673" s="7"/>
    </row>
    <row r="674" spans="4:4" x14ac:dyDescent="0.25">
      <c r="D674" s="7"/>
    </row>
    <row r="675" spans="4:4" x14ac:dyDescent="0.25">
      <c r="D675" s="7"/>
    </row>
    <row r="676" spans="4:4" x14ac:dyDescent="0.25">
      <c r="D676" s="7"/>
    </row>
    <row r="677" spans="4:4" x14ac:dyDescent="0.25">
      <c r="D677" s="7"/>
    </row>
    <row r="678" spans="4:4" x14ac:dyDescent="0.25">
      <c r="D678" s="7"/>
    </row>
    <row r="679" spans="4:4" x14ac:dyDescent="0.25">
      <c r="D679" s="7"/>
    </row>
    <row r="680" spans="4:4" x14ac:dyDescent="0.25">
      <c r="D680" s="7"/>
    </row>
    <row r="681" spans="4:4" x14ac:dyDescent="0.25">
      <c r="D681" s="7"/>
    </row>
    <row r="682" spans="4:4" x14ac:dyDescent="0.25">
      <c r="D682" s="7"/>
    </row>
    <row r="683" spans="4:4" x14ac:dyDescent="0.25">
      <c r="D683" s="7"/>
    </row>
    <row r="684" spans="4:4" x14ac:dyDescent="0.25">
      <c r="D684" s="7"/>
    </row>
    <row r="685" spans="4:4" x14ac:dyDescent="0.25">
      <c r="D685" s="7"/>
    </row>
    <row r="686" spans="4:4" x14ac:dyDescent="0.25">
      <c r="D686" s="7"/>
    </row>
    <row r="687" spans="4:4" x14ac:dyDescent="0.25">
      <c r="D687" s="7"/>
    </row>
    <row r="688" spans="4:4" x14ac:dyDescent="0.25">
      <c r="D688" s="7"/>
    </row>
    <row r="689" spans="4:4" x14ac:dyDescent="0.25">
      <c r="D689" s="7"/>
    </row>
    <row r="690" spans="4:4" x14ac:dyDescent="0.25">
      <c r="D690" s="7"/>
    </row>
    <row r="691" spans="4:4" x14ac:dyDescent="0.25">
      <c r="D691" s="7"/>
    </row>
    <row r="692" spans="4:4" x14ac:dyDescent="0.25">
      <c r="D692" s="7"/>
    </row>
    <row r="693" spans="4:4" x14ac:dyDescent="0.25">
      <c r="D693" s="7"/>
    </row>
    <row r="694" spans="4:4" x14ac:dyDescent="0.25">
      <c r="D694" s="7"/>
    </row>
    <row r="695" spans="4:4" x14ac:dyDescent="0.25">
      <c r="D695" s="7"/>
    </row>
    <row r="696" spans="4:4" x14ac:dyDescent="0.25">
      <c r="D696" s="7"/>
    </row>
    <row r="697" spans="4:4" x14ac:dyDescent="0.25">
      <c r="D697" s="7"/>
    </row>
    <row r="698" spans="4:4" x14ac:dyDescent="0.25">
      <c r="D698" s="7"/>
    </row>
    <row r="699" spans="4:4" x14ac:dyDescent="0.25">
      <c r="D699" s="7"/>
    </row>
    <row r="700" spans="4:4" x14ac:dyDescent="0.25">
      <c r="D700" s="7"/>
    </row>
    <row r="701" spans="4:4" x14ac:dyDescent="0.25">
      <c r="D701" s="7"/>
    </row>
    <row r="702" spans="4:4" x14ac:dyDescent="0.25">
      <c r="D702" s="7"/>
    </row>
    <row r="703" spans="4:4" x14ac:dyDescent="0.25">
      <c r="D703" s="7"/>
    </row>
    <row r="704" spans="4:4" x14ac:dyDescent="0.25">
      <c r="D704" s="7"/>
    </row>
    <row r="705" spans="4:4" x14ac:dyDescent="0.25">
      <c r="D705" s="7"/>
    </row>
    <row r="706" spans="4:4" x14ac:dyDescent="0.25">
      <c r="D706" s="7"/>
    </row>
    <row r="707" spans="4:4" x14ac:dyDescent="0.25">
      <c r="D707" s="7"/>
    </row>
    <row r="708" spans="4:4" x14ac:dyDescent="0.25">
      <c r="D708" s="7"/>
    </row>
    <row r="709" spans="4:4" x14ac:dyDescent="0.25">
      <c r="D709" s="7"/>
    </row>
    <row r="710" spans="4:4" x14ac:dyDescent="0.25">
      <c r="D710" s="7"/>
    </row>
    <row r="711" spans="4:4" x14ac:dyDescent="0.25">
      <c r="D711" s="7"/>
    </row>
    <row r="712" spans="4:4" x14ac:dyDescent="0.25">
      <c r="D712" s="7"/>
    </row>
    <row r="713" spans="4:4" x14ac:dyDescent="0.25">
      <c r="D713" s="7"/>
    </row>
    <row r="714" spans="4:4" x14ac:dyDescent="0.25">
      <c r="D714" s="7"/>
    </row>
    <row r="715" spans="4:4" x14ac:dyDescent="0.25">
      <c r="D715" s="7"/>
    </row>
    <row r="716" spans="4:4" x14ac:dyDescent="0.25">
      <c r="D716" s="7"/>
    </row>
    <row r="717" spans="4:4" x14ac:dyDescent="0.25">
      <c r="D717" s="7"/>
    </row>
    <row r="718" spans="4:4" x14ac:dyDescent="0.25">
      <c r="D718" s="7"/>
    </row>
    <row r="719" spans="4:4" x14ac:dyDescent="0.25">
      <c r="D719" s="7"/>
    </row>
    <row r="720" spans="4:4" x14ac:dyDescent="0.25">
      <c r="D720" s="7"/>
    </row>
    <row r="721" spans="4:4" x14ac:dyDescent="0.25">
      <c r="D721" s="7"/>
    </row>
    <row r="722" spans="4:4" x14ac:dyDescent="0.25">
      <c r="D722" s="7"/>
    </row>
    <row r="723" spans="4:4" x14ac:dyDescent="0.25">
      <c r="D723" s="7"/>
    </row>
    <row r="724" spans="4:4" x14ac:dyDescent="0.25">
      <c r="D724" s="7"/>
    </row>
    <row r="725" spans="4:4" x14ac:dyDescent="0.25">
      <c r="D725" s="7"/>
    </row>
    <row r="726" spans="4:4" x14ac:dyDescent="0.25">
      <c r="D726" s="7"/>
    </row>
    <row r="727" spans="4:4" x14ac:dyDescent="0.25">
      <c r="D727" s="7"/>
    </row>
    <row r="728" spans="4:4" x14ac:dyDescent="0.25">
      <c r="D728" s="7"/>
    </row>
    <row r="729" spans="4:4" x14ac:dyDescent="0.25">
      <c r="D729" s="7"/>
    </row>
    <row r="730" spans="4:4" x14ac:dyDescent="0.25">
      <c r="D730" s="7"/>
    </row>
    <row r="731" spans="4:4" x14ac:dyDescent="0.25">
      <c r="D731" s="7"/>
    </row>
    <row r="732" spans="4:4" x14ac:dyDescent="0.25">
      <c r="D732" s="7"/>
    </row>
    <row r="733" spans="4:4" x14ac:dyDescent="0.25">
      <c r="D733" s="7"/>
    </row>
    <row r="734" spans="4:4" x14ac:dyDescent="0.25">
      <c r="D734" s="7"/>
    </row>
    <row r="735" spans="4:4" x14ac:dyDescent="0.25">
      <c r="D735" s="7"/>
    </row>
    <row r="736" spans="4:4" x14ac:dyDescent="0.25">
      <c r="D736" s="7"/>
    </row>
    <row r="737" spans="4:4" x14ac:dyDescent="0.25">
      <c r="D737" s="7"/>
    </row>
    <row r="738" spans="4:4" x14ac:dyDescent="0.25">
      <c r="D738" s="7"/>
    </row>
    <row r="739" spans="4:4" x14ac:dyDescent="0.25">
      <c r="D739" s="7"/>
    </row>
    <row r="740" spans="4:4" x14ac:dyDescent="0.25">
      <c r="D740" s="7"/>
    </row>
    <row r="741" spans="4:4" x14ac:dyDescent="0.25">
      <c r="D741" s="7"/>
    </row>
    <row r="742" spans="4:4" x14ac:dyDescent="0.25">
      <c r="D742" s="7"/>
    </row>
    <row r="743" spans="4:4" x14ac:dyDescent="0.25">
      <c r="D743" s="7"/>
    </row>
    <row r="744" spans="4:4" x14ac:dyDescent="0.25">
      <c r="D744" s="7"/>
    </row>
    <row r="745" spans="4:4" x14ac:dyDescent="0.25">
      <c r="D745" s="7"/>
    </row>
    <row r="746" spans="4:4" x14ac:dyDescent="0.25">
      <c r="D746" s="7"/>
    </row>
    <row r="747" spans="4:4" x14ac:dyDescent="0.25">
      <c r="D747" s="7"/>
    </row>
    <row r="748" spans="4:4" x14ac:dyDescent="0.25">
      <c r="D748" s="7"/>
    </row>
    <row r="749" spans="4:4" x14ac:dyDescent="0.25">
      <c r="D749" s="7"/>
    </row>
    <row r="750" spans="4:4" x14ac:dyDescent="0.25">
      <c r="D750" s="7"/>
    </row>
    <row r="751" spans="4:4" x14ac:dyDescent="0.25">
      <c r="D751" s="7"/>
    </row>
    <row r="752" spans="4:4" x14ac:dyDescent="0.25">
      <c r="D752" s="7"/>
    </row>
    <row r="753" spans="4:4" x14ac:dyDescent="0.25">
      <c r="D753" s="7"/>
    </row>
    <row r="754" spans="4:4" x14ac:dyDescent="0.25">
      <c r="D754" s="7"/>
    </row>
    <row r="755" spans="4:4" x14ac:dyDescent="0.25">
      <c r="D755" s="7"/>
    </row>
    <row r="756" spans="4:4" x14ac:dyDescent="0.25">
      <c r="D756" s="7"/>
    </row>
    <row r="757" spans="4:4" x14ac:dyDescent="0.25">
      <c r="D757" s="7"/>
    </row>
    <row r="758" spans="4:4" x14ac:dyDescent="0.25">
      <c r="D758" s="7"/>
    </row>
    <row r="759" spans="4:4" x14ac:dyDescent="0.25">
      <c r="D759" s="7"/>
    </row>
    <row r="760" spans="4:4" x14ac:dyDescent="0.25">
      <c r="D760" s="7"/>
    </row>
    <row r="761" spans="4:4" x14ac:dyDescent="0.25">
      <c r="D761" s="7"/>
    </row>
    <row r="762" spans="4:4" x14ac:dyDescent="0.25">
      <c r="D762" s="7"/>
    </row>
    <row r="763" spans="4:4" x14ac:dyDescent="0.25">
      <c r="D763" s="7"/>
    </row>
    <row r="764" spans="4:4" x14ac:dyDescent="0.25">
      <c r="D764" s="7"/>
    </row>
    <row r="765" spans="4:4" x14ac:dyDescent="0.25">
      <c r="D765" s="7"/>
    </row>
    <row r="766" spans="4:4" x14ac:dyDescent="0.25">
      <c r="D766" s="7"/>
    </row>
    <row r="767" spans="4:4" x14ac:dyDescent="0.25">
      <c r="D767" s="7"/>
    </row>
    <row r="768" spans="4:4" x14ac:dyDescent="0.25">
      <c r="D768" s="7"/>
    </row>
    <row r="769" spans="4:4" x14ac:dyDescent="0.25">
      <c r="D769" s="7"/>
    </row>
    <row r="770" spans="4:4" x14ac:dyDescent="0.25">
      <c r="D770" s="7"/>
    </row>
    <row r="771" spans="4:4" x14ac:dyDescent="0.25">
      <c r="D771" s="7"/>
    </row>
    <row r="772" spans="4:4" x14ac:dyDescent="0.25">
      <c r="D772" s="7"/>
    </row>
    <row r="773" spans="4:4" x14ac:dyDescent="0.25">
      <c r="D773" s="7"/>
    </row>
    <row r="774" spans="4:4" x14ac:dyDescent="0.25">
      <c r="D774" s="7"/>
    </row>
    <row r="775" spans="4:4" x14ac:dyDescent="0.25">
      <c r="D775" s="7"/>
    </row>
    <row r="776" spans="4:4" x14ac:dyDescent="0.25">
      <c r="D776" s="7"/>
    </row>
    <row r="777" spans="4:4" x14ac:dyDescent="0.25">
      <c r="D777" s="7"/>
    </row>
    <row r="778" spans="4:4" x14ac:dyDescent="0.25">
      <c r="D778" s="7"/>
    </row>
    <row r="779" spans="4:4" x14ac:dyDescent="0.25">
      <c r="D779" s="7"/>
    </row>
    <row r="780" spans="4:4" x14ac:dyDescent="0.25">
      <c r="D780" s="7"/>
    </row>
    <row r="781" spans="4:4" x14ac:dyDescent="0.25">
      <c r="D781" s="7"/>
    </row>
    <row r="782" spans="4:4" x14ac:dyDescent="0.25">
      <c r="D782" s="7"/>
    </row>
    <row r="783" spans="4:4" x14ac:dyDescent="0.25">
      <c r="D783" s="7"/>
    </row>
    <row r="784" spans="4:4" x14ac:dyDescent="0.25">
      <c r="D784" s="7"/>
    </row>
    <row r="785" spans="4:4" x14ac:dyDescent="0.25">
      <c r="D785" s="7"/>
    </row>
    <row r="786" spans="4:4" x14ac:dyDescent="0.25">
      <c r="D786" s="7"/>
    </row>
    <row r="787" spans="4:4" x14ac:dyDescent="0.25">
      <c r="D787" s="7"/>
    </row>
    <row r="788" spans="4:4" x14ac:dyDescent="0.25">
      <c r="D788" s="7"/>
    </row>
    <row r="789" spans="4:4" x14ac:dyDescent="0.25">
      <c r="D789" s="7"/>
    </row>
    <row r="790" spans="4:4" x14ac:dyDescent="0.25">
      <c r="D790" s="7"/>
    </row>
    <row r="791" spans="4:4" x14ac:dyDescent="0.25">
      <c r="D791" s="7"/>
    </row>
    <row r="792" spans="4:4" x14ac:dyDescent="0.25">
      <c r="D792" s="7"/>
    </row>
    <row r="793" spans="4:4" x14ac:dyDescent="0.25">
      <c r="D793" s="7"/>
    </row>
    <row r="794" spans="4:4" x14ac:dyDescent="0.25">
      <c r="D794" s="7"/>
    </row>
    <row r="795" spans="4:4" x14ac:dyDescent="0.25">
      <c r="D795" s="7"/>
    </row>
    <row r="796" spans="4:4" x14ac:dyDescent="0.25">
      <c r="D796" s="7"/>
    </row>
    <row r="797" spans="4:4" x14ac:dyDescent="0.25">
      <c r="D797" s="7"/>
    </row>
    <row r="798" spans="4:4" x14ac:dyDescent="0.25">
      <c r="D798" s="7"/>
    </row>
    <row r="799" spans="4:4" x14ac:dyDescent="0.25">
      <c r="D799" s="7"/>
    </row>
    <row r="800" spans="4:4" x14ac:dyDescent="0.25">
      <c r="D800" s="7"/>
    </row>
    <row r="801" spans="4:4" x14ac:dyDescent="0.25">
      <c r="D801" s="7"/>
    </row>
    <row r="802" spans="4:4" x14ac:dyDescent="0.25">
      <c r="D802" s="7"/>
    </row>
    <row r="803" spans="4:4" x14ac:dyDescent="0.25">
      <c r="D803" s="7"/>
    </row>
    <row r="804" spans="4:4" x14ac:dyDescent="0.25">
      <c r="D804" s="7"/>
    </row>
    <row r="805" spans="4:4" x14ac:dyDescent="0.25">
      <c r="D805" s="7"/>
    </row>
    <row r="806" spans="4:4" x14ac:dyDescent="0.25">
      <c r="D806" s="7"/>
    </row>
    <row r="807" spans="4:4" x14ac:dyDescent="0.25">
      <c r="D807" s="7"/>
    </row>
    <row r="808" spans="4:4" x14ac:dyDescent="0.25">
      <c r="D808" s="7"/>
    </row>
    <row r="809" spans="4:4" x14ac:dyDescent="0.25">
      <c r="D809" s="7"/>
    </row>
    <row r="810" spans="4:4" x14ac:dyDescent="0.25">
      <c r="D810" s="7"/>
    </row>
    <row r="811" spans="4:4" x14ac:dyDescent="0.25">
      <c r="D811" s="7"/>
    </row>
    <row r="812" spans="4:4" x14ac:dyDescent="0.25">
      <c r="D812" s="7"/>
    </row>
    <row r="813" spans="4:4" x14ac:dyDescent="0.25">
      <c r="D813" s="7"/>
    </row>
    <row r="814" spans="4:4" x14ac:dyDescent="0.25">
      <c r="D814" s="7"/>
    </row>
    <row r="815" spans="4:4" x14ac:dyDescent="0.25">
      <c r="D815" s="7"/>
    </row>
    <row r="816" spans="4:4" x14ac:dyDescent="0.25">
      <c r="D816" s="7"/>
    </row>
    <row r="817" spans="4:4" x14ac:dyDescent="0.25">
      <c r="D817" s="7"/>
    </row>
    <row r="818" spans="4:4" x14ac:dyDescent="0.25">
      <c r="D818" s="7"/>
    </row>
    <row r="819" spans="4:4" x14ac:dyDescent="0.25">
      <c r="D819" s="7"/>
    </row>
    <row r="820" spans="4:4" x14ac:dyDescent="0.25">
      <c r="D820" s="7"/>
    </row>
    <row r="821" spans="4:4" x14ac:dyDescent="0.25">
      <c r="D821" s="7"/>
    </row>
    <row r="822" spans="4:4" x14ac:dyDescent="0.25">
      <c r="D822" s="7"/>
    </row>
    <row r="823" spans="4:4" x14ac:dyDescent="0.25">
      <c r="D823" s="7"/>
    </row>
    <row r="824" spans="4:4" x14ac:dyDescent="0.25">
      <c r="D824" s="7"/>
    </row>
    <row r="825" spans="4:4" x14ac:dyDescent="0.25">
      <c r="D825" s="7"/>
    </row>
    <row r="826" spans="4:4" x14ac:dyDescent="0.25">
      <c r="D826" s="7"/>
    </row>
    <row r="827" spans="4:4" x14ac:dyDescent="0.25">
      <c r="D827" s="7"/>
    </row>
    <row r="828" spans="4:4" x14ac:dyDescent="0.25">
      <c r="D828" s="7"/>
    </row>
    <row r="829" spans="4:4" x14ac:dyDescent="0.25">
      <c r="D829" s="7"/>
    </row>
    <row r="830" spans="4:4" x14ac:dyDescent="0.25">
      <c r="D830" s="7"/>
    </row>
    <row r="831" spans="4:4" x14ac:dyDescent="0.25">
      <c r="D831" s="7"/>
    </row>
    <row r="832" spans="4:4" x14ac:dyDescent="0.25">
      <c r="D832" s="7"/>
    </row>
    <row r="833" spans="4:4" x14ac:dyDescent="0.25">
      <c r="D833" s="7"/>
    </row>
    <row r="834" spans="4:4" x14ac:dyDescent="0.25">
      <c r="D834" s="7"/>
    </row>
    <row r="835" spans="4:4" x14ac:dyDescent="0.25">
      <c r="D835" s="7"/>
    </row>
    <row r="836" spans="4:4" x14ac:dyDescent="0.25">
      <c r="D836" s="7"/>
    </row>
    <row r="837" spans="4:4" x14ac:dyDescent="0.25">
      <c r="D837" s="7"/>
    </row>
    <row r="838" spans="4:4" x14ac:dyDescent="0.25">
      <c r="D838" s="7"/>
    </row>
    <row r="839" spans="4:4" x14ac:dyDescent="0.25">
      <c r="D839" s="7"/>
    </row>
    <row r="840" spans="4:4" x14ac:dyDescent="0.25">
      <c r="D840" s="7"/>
    </row>
    <row r="841" spans="4:4" x14ac:dyDescent="0.25">
      <c r="D841" s="7"/>
    </row>
    <row r="842" spans="4:4" x14ac:dyDescent="0.25">
      <c r="D842" s="7"/>
    </row>
    <row r="843" spans="4:4" x14ac:dyDescent="0.25">
      <c r="D843" s="7"/>
    </row>
    <row r="844" spans="4:4" x14ac:dyDescent="0.25">
      <c r="D844" s="7"/>
    </row>
    <row r="845" spans="4:4" x14ac:dyDescent="0.25">
      <c r="D845" s="7"/>
    </row>
    <row r="846" spans="4:4" x14ac:dyDescent="0.25">
      <c r="D846" s="7"/>
    </row>
    <row r="847" spans="4:4" x14ac:dyDescent="0.25">
      <c r="D847" s="7"/>
    </row>
    <row r="848" spans="4:4" x14ac:dyDescent="0.25">
      <c r="D848" s="7"/>
    </row>
    <row r="849" spans="4:4" x14ac:dyDescent="0.25">
      <c r="D849" s="7"/>
    </row>
    <row r="850" spans="4:4" x14ac:dyDescent="0.25">
      <c r="D850" s="7"/>
    </row>
    <row r="851" spans="4:4" x14ac:dyDescent="0.25">
      <c r="D851" s="7"/>
    </row>
    <row r="852" spans="4:4" x14ac:dyDescent="0.25">
      <c r="D852" s="7"/>
    </row>
    <row r="853" spans="4:4" x14ac:dyDescent="0.25">
      <c r="D853" s="7"/>
    </row>
    <row r="854" spans="4:4" x14ac:dyDescent="0.25">
      <c r="D854" s="7"/>
    </row>
    <row r="855" spans="4:4" x14ac:dyDescent="0.25">
      <c r="D855" s="7"/>
    </row>
    <row r="856" spans="4:4" x14ac:dyDescent="0.25">
      <c r="D856" s="7"/>
    </row>
    <row r="857" spans="4:4" x14ac:dyDescent="0.25">
      <c r="D857" s="7"/>
    </row>
    <row r="858" spans="4:4" x14ac:dyDescent="0.25">
      <c r="D858" s="7"/>
    </row>
    <row r="859" spans="4:4" x14ac:dyDescent="0.25">
      <c r="D859" s="7"/>
    </row>
    <row r="860" spans="4:4" x14ac:dyDescent="0.25">
      <c r="D860" s="7"/>
    </row>
    <row r="861" spans="4:4" x14ac:dyDescent="0.25">
      <c r="D861" s="7"/>
    </row>
    <row r="862" spans="4:4" x14ac:dyDescent="0.25">
      <c r="D862" s="7"/>
    </row>
    <row r="863" spans="4:4" x14ac:dyDescent="0.25">
      <c r="D863" s="7"/>
    </row>
    <row r="864" spans="4:4" x14ac:dyDescent="0.25">
      <c r="D864" s="7"/>
    </row>
    <row r="865" spans="4:4" x14ac:dyDescent="0.25">
      <c r="D865" s="7"/>
    </row>
    <row r="866" spans="4:4" x14ac:dyDescent="0.25">
      <c r="D866" s="7"/>
    </row>
    <row r="867" spans="4:4" x14ac:dyDescent="0.25">
      <c r="D867" s="7"/>
    </row>
    <row r="868" spans="4:4" x14ac:dyDescent="0.25">
      <c r="D868" s="7"/>
    </row>
    <row r="869" spans="4:4" x14ac:dyDescent="0.25">
      <c r="D869" s="7"/>
    </row>
    <row r="870" spans="4:4" x14ac:dyDescent="0.25">
      <c r="D870" s="7"/>
    </row>
    <row r="871" spans="4:4" x14ac:dyDescent="0.25">
      <c r="D871" s="7"/>
    </row>
    <row r="872" spans="4:4" x14ac:dyDescent="0.25">
      <c r="D872" s="7"/>
    </row>
    <row r="873" spans="4:4" x14ac:dyDescent="0.25">
      <c r="D873" s="7"/>
    </row>
    <row r="874" spans="4:4" x14ac:dyDescent="0.25">
      <c r="D874" s="7"/>
    </row>
    <row r="875" spans="4:4" x14ac:dyDescent="0.25">
      <c r="D875" s="7"/>
    </row>
    <row r="876" spans="4:4" x14ac:dyDescent="0.25">
      <c r="D876" s="7"/>
    </row>
    <row r="877" spans="4:4" x14ac:dyDescent="0.25">
      <c r="D877" s="7"/>
    </row>
    <row r="878" spans="4:4" x14ac:dyDescent="0.25">
      <c r="D878" s="7"/>
    </row>
    <row r="879" spans="4:4" x14ac:dyDescent="0.25">
      <c r="D879" s="7"/>
    </row>
    <row r="880" spans="4:4" x14ac:dyDescent="0.25">
      <c r="D880" s="7"/>
    </row>
    <row r="881" spans="4:4" x14ac:dyDescent="0.25">
      <c r="D881" s="7"/>
    </row>
    <row r="882" spans="4:4" x14ac:dyDescent="0.25">
      <c r="D882" s="7"/>
    </row>
    <row r="883" spans="4:4" x14ac:dyDescent="0.25">
      <c r="D883" s="7"/>
    </row>
    <row r="884" spans="4:4" x14ac:dyDescent="0.25">
      <c r="D884" s="7"/>
    </row>
    <row r="885" spans="4:4" x14ac:dyDescent="0.25">
      <c r="D885" s="7"/>
    </row>
    <row r="886" spans="4:4" x14ac:dyDescent="0.25">
      <c r="D886" s="7"/>
    </row>
    <row r="887" spans="4:4" x14ac:dyDescent="0.25">
      <c r="D887" s="7"/>
    </row>
    <row r="888" spans="4:4" x14ac:dyDescent="0.25">
      <c r="D888" s="7"/>
    </row>
    <row r="889" spans="4:4" x14ac:dyDescent="0.25">
      <c r="D889" s="7"/>
    </row>
    <row r="890" spans="4:4" x14ac:dyDescent="0.25">
      <c r="D890" s="7"/>
    </row>
    <row r="891" spans="4:4" x14ac:dyDescent="0.25">
      <c r="D891" s="7"/>
    </row>
    <row r="892" spans="4:4" x14ac:dyDescent="0.25">
      <c r="D892" s="7"/>
    </row>
    <row r="893" spans="4:4" x14ac:dyDescent="0.25">
      <c r="D893" s="7"/>
    </row>
    <row r="894" spans="4:4" x14ac:dyDescent="0.25">
      <c r="D894" s="7"/>
    </row>
    <row r="895" spans="4:4" x14ac:dyDescent="0.25">
      <c r="D895" s="7"/>
    </row>
    <row r="896" spans="4:4" x14ac:dyDescent="0.25">
      <c r="D896" s="7"/>
    </row>
    <row r="897" spans="4:4" x14ac:dyDescent="0.25">
      <c r="D897" s="7"/>
    </row>
    <row r="898" spans="4:4" x14ac:dyDescent="0.25">
      <c r="D898" s="7"/>
    </row>
    <row r="899" spans="4:4" x14ac:dyDescent="0.25">
      <c r="D899" s="7"/>
    </row>
    <row r="900" spans="4:4" x14ac:dyDescent="0.25">
      <c r="D900" s="7"/>
    </row>
    <row r="901" spans="4:4" x14ac:dyDescent="0.25">
      <c r="D901" s="7"/>
    </row>
    <row r="902" spans="4:4" x14ac:dyDescent="0.25">
      <c r="D902" s="7"/>
    </row>
    <row r="903" spans="4:4" x14ac:dyDescent="0.25">
      <c r="D903" s="7"/>
    </row>
    <row r="904" spans="4:4" x14ac:dyDescent="0.25">
      <c r="D904" s="7"/>
    </row>
    <row r="905" spans="4:4" x14ac:dyDescent="0.25">
      <c r="D905" s="7"/>
    </row>
    <row r="906" spans="4:4" x14ac:dyDescent="0.25">
      <c r="D906" s="7"/>
    </row>
    <row r="907" spans="4:4" x14ac:dyDescent="0.25">
      <c r="D907" s="7"/>
    </row>
    <row r="908" spans="4:4" x14ac:dyDescent="0.25">
      <c r="D908" s="7"/>
    </row>
    <row r="909" spans="4:4" x14ac:dyDescent="0.25">
      <c r="D909" s="7"/>
    </row>
    <row r="910" spans="4:4" x14ac:dyDescent="0.25">
      <c r="D910" s="7"/>
    </row>
    <row r="911" spans="4:4" x14ac:dyDescent="0.25">
      <c r="D911" s="7"/>
    </row>
    <row r="912" spans="4:4" x14ac:dyDescent="0.25">
      <c r="D912" s="7"/>
    </row>
    <row r="913" spans="4:4" x14ac:dyDescent="0.25">
      <c r="D913" s="7"/>
    </row>
    <row r="914" spans="4:4" x14ac:dyDescent="0.25">
      <c r="D914" s="7"/>
    </row>
    <row r="915" spans="4:4" x14ac:dyDescent="0.25">
      <c r="D915" s="7"/>
    </row>
    <row r="916" spans="4:4" x14ac:dyDescent="0.25">
      <c r="D916" s="7"/>
    </row>
    <row r="917" spans="4:4" x14ac:dyDescent="0.25">
      <c r="D917" s="7"/>
    </row>
    <row r="918" spans="4:4" x14ac:dyDescent="0.25">
      <c r="D918" s="7"/>
    </row>
    <row r="919" spans="4:4" x14ac:dyDescent="0.25">
      <c r="D919" s="7"/>
    </row>
    <row r="920" spans="4:4" x14ac:dyDescent="0.25">
      <c r="D920" s="7"/>
    </row>
    <row r="921" spans="4:4" x14ac:dyDescent="0.25">
      <c r="D921" s="7"/>
    </row>
    <row r="922" spans="4:4" x14ac:dyDescent="0.25">
      <c r="D922" s="7"/>
    </row>
    <row r="923" spans="4:4" x14ac:dyDescent="0.25">
      <c r="D923" s="7"/>
    </row>
    <row r="924" spans="4:4" x14ac:dyDescent="0.25">
      <c r="D924" s="7"/>
    </row>
    <row r="925" spans="4:4" x14ac:dyDescent="0.25">
      <c r="D925" s="7"/>
    </row>
    <row r="926" spans="4:4" x14ac:dyDescent="0.25">
      <c r="D926" s="7"/>
    </row>
    <row r="927" spans="4:4" x14ac:dyDescent="0.25">
      <c r="D927" s="7"/>
    </row>
    <row r="928" spans="4:4" x14ac:dyDescent="0.25">
      <c r="D928" s="7"/>
    </row>
    <row r="929" spans="4:4" x14ac:dyDescent="0.25">
      <c r="D929" s="7"/>
    </row>
    <row r="930" spans="4:4" x14ac:dyDescent="0.25">
      <c r="D930" s="7"/>
    </row>
    <row r="931" spans="4:4" x14ac:dyDescent="0.25">
      <c r="D931" s="7"/>
    </row>
    <row r="932" spans="4:4" x14ac:dyDescent="0.25">
      <c r="D932" s="7"/>
    </row>
    <row r="933" spans="4:4" x14ac:dyDescent="0.25">
      <c r="D933" s="7"/>
    </row>
    <row r="934" spans="4:4" x14ac:dyDescent="0.25">
      <c r="D934" s="7"/>
    </row>
    <row r="935" spans="4:4" x14ac:dyDescent="0.25">
      <c r="D935" s="7"/>
    </row>
    <row r="936" spans="4:4" x14ac:dyDescent="0.25">
      <c r="D936" s="7"/>
    </row>
    <row r="937" spans="4:4" x14ac:dyDescent="0.25">
      <c r="D937" s="7"/>
    </row>
    <row r="938" spans="4:4" x14ac:dyDescent="0.25">
      <c r="D938" s="7"/>
    </row>
    <row r="939" spans="4:4" x14ac:dyDescent="0.25">
      <c r="D939" s="7"/>
    </row>
    <row r="940" spans="4:4" x14ac:dyDescent="0.25">
      <c r="D940" s="7"/>
    </row>
    <row r="941" spans="4:4" x14ac:dyDescent="0.25">
      <c r="D941" s="7"/>
    </row>
    <row r="942" spans="4:4" x14ac:dyDescent="0.25">
      <c r="D942" s="7"/>
    </row>
    <row r="943" spans="4:4" x14ac:dyDescent="0.25">
      <c r="D943" s="7"/>
    </row>
    <row r="944" spans="4:4" x14ac:dyDescent="0.25">
      <c r="D944" s="7"/>
    </row>
    <row r="945" spans="4:4" x14ac:dyDescent="0.25">
      <c r="D945" s="7"/>
    </row>
    <row r="946" spans="4:4" x14ac:dyDescent="0.25">
      <c r="D946" s="7"/>
    </row>
    <row r="947" spans="4:4" x14ac:dyDescent="0.25">
      <c r="D947" s="7"/>
    </row>
    <row r="948" spans="4:4" x14ac:dyDescent="0.25">
      <c r="D948" s="7"/>
    </row>
    <row r="949" spans="4:4" x14ac:dyDescent="0.25">
      <c r="D949" s="7"/>
    </row>
    <row r="950" spans="4:4" x14ac:dyDescent="0.25">
      <c r="D950" s="7"/>
    </row>
    <row r="951" spans="4:4" x14ac:dyDescent="0.25">
      <c r="D951" s="7"/>
    </row>
    <row r="952" spans="4:4" x14ac:dyDescent="0.25">
      <c r="D952" s="7"/>
    </row>
    <row r="953" spans="4:4" x14ac:dyDescent="0.25">
      <c r="D953" s="7"/>
    </row>
    <row r="954" spans="4:4" x14ac:dyDescent="0.25">
      <c r="D954" s="7"/>
    </row>
    <row r="955" spans="4:4" x14ac:dyDescent="0.25">
      <c r="D955" s="7"/>
    </row>
    <row r="956" spans="4:4" x14ac:dyDescent="0.25">
      <c r="D956" s="7"/>
    </row>
    <row r="957" spans="4:4" x14ac:dyDescent="0.25">
      <c r="D957" s="7"/>
    </row>
    <row r="958" spans="4:4" x14ac:dyDescent="0.25">
      <c r="D958" s="7"/>
    </row>
    <row r="959" spans="4:4" x14ac:dyDescent="0.25">
      <c r="D959" s="7"/>
    </row>
    <row r="960" spans="4:4" x14ac:dyDescent="0.25">
      <c r="D960" s="7"/>
    </row>
    <row r="961" spans="4:4" x14ac:dyDescent="0.25">
      <c r="D961" s="7"/>
    </row>
    <row r="962" spans="4:4" x14ac:dyDescent="0.25">
      <c r="D962" s="7"/>
    </row>
    <row r="963" spans="4:4" x14ac:dyDescent="0.25">
      <c r="D963" s="7"/>
    </row>
    <row r="964" spans="4:4" x14ac:dyDescent="0.25">
      <c r="D964" s="7"/>
    </row>
    <row r="965" spans="4:4" x14ac:dyDescent="0.25">
      <c r="D965" s="7"/>
    </row>
    <row r="966" spans="4:4" x14ac:dyDescent="0.25">
      <c r="D966" s="7"/>
    </row>
    <row r="967" spans="4:4" x14ac:dyDescent="0.25">
      <c r="D967" s="7"/>
    </row>
    <row r="968" spans="4:4" x14ac:dyDescent="0.25">
      <c r="D968" s="7"/>
    </row>
    <row r="969" spans="4:4" x14ac:dyDescent="0.25">
      <c r="D969" s="7"/>
    </row>
    <row r="970" spans="4:4" x14ac:dyDescent="0.25">
      <c r="D970" s="7"/>
    </row>
    <row r="971" spans="4:4" x14ac:dyDescent="0.25">
      <c r="D971" s="7"/>
    </row>
    <row r="972" spans="4:4" x14ac:dyDescent="0.25">
      <c r="D972" s="7"/>
    </row>
    <row r="973" spans="4:4" x14ac:dyDescent="0.25">
      <c r="D973" s="7"/>
    </row>
    <row r="974" spans="4:4" x14ac:dyDescent="0.25">
      <c r="D974" s="7"/>
    </row>
    <row r="975" spans="4:4" x14ac:dyDescent="0.25">
      <c r="D975" s="7"/>
    </row>
    <row r="976" spans="4:4" x14ac:dyDescent="0.25">
      <c r="D976" s="7"/>
    </row>
    <row r="977" spans="4:4" x14ac:dyDescent="0.25">
      <c r="D977" s="7"/>
    </row>
    <row r="978" spans="4:4" x14ac:dyDescent="0.25">
      <c r="D978" s="7"/>
    </row>
    <row r="979" spans="4:4" x14ac:dyDescent="0.25">
      <c r="D979" s="7"/>
    </row>
    <row r="980" spans="4:4" x14ac:dyDescent="0.25">
      <c r="D980" s="7"/>
    </row>
    <row r="981" spans="4:4" x14ac:dyDescent="0.25">
      <c r="D981" s="7"/>
    </row>
    <row r="982" spans="4:4" x14ac:dyDescent="0.25">
      <c r="D982" s="7"/>
    </row>
    <row r="983" spans="4:4" x14ac:dyDescent="0.25">
      <c r="D983" s="7"/>
    </row>
    <row r="984" spans="4:4" x14ac:dyDescent="0.25">
      <c r="D984" s="7"/>
    </row>
    <row r="985" spans="4:4" x14ac:dyDescent="0.25">
      <c r="D985" s="7"/>
    </row>
    <row r="986" spans="4:4" x14ac:dyDescent="0.25">
      <c r="D986" s="7"/>
    </row>
    <row r="987" spans="4:4" x14ac:dyDescent="0.25">
      <c r="D987" s="7"/>
    </row>
    <row r="988" spans="4:4" x14ac:dyDescent="0.25">
      <c r="D988" s="7"/>
    </row>
    <row r="989" spans="4:4" x14ac:dyDescent="0.25">
      <c r="D989" s="7"/>
    </row>
    <row r="990" spans="4:4" x14ac:dyDescent="0.25">
      <c r="D990" s="7"/>
    </row>
    <row r="991" spans="4:4" x14ac:dyDescent="0.25">
      <c r="D991" s="7"/>
    </row>
    <row r="992" spans="4:4" x14ac:dyDescent="0.25">
      <c r="D992" s="7"/>
    </row>
    <row r="993" spans="4:4" x14ac:dyDescent="0.25">
      <c r="D993" s="7"/>
    </row>
    <row r="994" spans="4:4" x14ac:dyDescent="0.25">
      <c r="D994" s="7"/>
    </row>
    <row r="995" spans="4:4" x14ac:dyDescent="0.25">
      <c r="D995" s="7"/>
    </row>
    <row r="996" spans="4:4" x14ac:dyDescent="0.25">
      <c r="D996" s="7"/>
    </row>
    <row r="997" spans="4:4" x14ac:dyDescent="0.25">
      <c r="D997" s="7"/>
    </row>
    <row r="998" spans="4:4" x14ac:dyDescent="0.25">
      <c r="D998" s="7"/>
    </row>
    <row r="999" spans="4:4" x14ac:dyDescent="0.25">
      <c r="D999" s="7"/>
    </row>
    <row r="1000" spans="4:4" x14ac:dyDescent="0.25">
      <c r="D1000" s="7"/>
    </row>
    <row r="1001" spans="4:4" x14ac:dyDescent="0.25">
      <c r="D1001" s="7"/>
    </row>
    <row r="1002" spans="4:4" x14ac:dyDescent="0.25">
      <c r="D1002" s="7"/>
    </row>
    <row r="1003" spans="4:4" x14ac:dyDescent="0.25">
      <c r="D1003" s="7"/>
    </row>
    <row r="1004" spans="4:4" x14ac:dyDescent="0.25">
      <c r="D1004" s="7"/>
    </row>
    <row r="1005" spans="4:4" x14ac:dyDescent="0.25">
      <c r="D1005" s="7"/>
    </row>
    <row r="1006" spans="4:4" x14ac:dyDescent="0.25">
      <c r="D1006" s="7"/>
    </row>
    <row r="1007" spans="4:4" x14ac:dyDescent="0.25">
      <c r="D1007" s="7"/>
    </row>
    <row r="1008" spans="4:4" x14ac:dyDescent="0.25">
      <c r="D1008" s="7"/>
    </row>
    <row r="1009" spans="4:4" x14ac:dyDescent="0.25">
      <c r="D1009" s="7"/>
    </row>
    <row r="1010" spans="4:4" x14ac:dyDescent="0.25">
      <c r="D1010" s="7"/>
    </row>
    <row r="1011" spans="4:4" x14ac:dyDescent="0.25">
      <c r="D1011" s="7"/>
    </row>
    <row r="1012" spans="4:4" x14ac:dyDescent="0.25">
      <c r="D1012" s="7"/>
    </row>
    <row r="1013" spans="4:4" x14ac:dyDescent="0.25">
      <c r="D1013" s="7"/>
    </row>
    <row r="1014" spans="4:4" x14ac:dyDescent="0.25">
      <c r="D1014" s="7"/>
    </row>
    <row r="1015" spans="4:4" x14ac:dyDescent="0.25">
      <c r="D1015" s="7"/>
    </row>
    <row r="1016" spans="4:4" x14ac:dyDescent="0.25">
      <c r="D1016" s="7"/>
    </row>
    <row r="1017" spans="4:4" x14ac:dyDescent="0.25">
      <c r="D1017" s="7"/>
    </row>
    <row r="1018" spans="4:4" x14ac:dyDescent="0.25">
      <c r="D1018" s="7"/>
    </row>
    <row r="1019" spans="4:4" x14ac:dyDescent="0.25">
      <c r="D1019" s="7"/>
    </row>
    <row r="1020" spans="4:4" x14ac:dyDescent="0.25">
      <c r="D1020" s="7"/>
    </row>
    <row r="1021" spans="4:4" x14ac:dyDescent="0.25">
      <c r="D1021" s="7"/>
    </row>
    <row r="1022" spans="4:4" x14ac:dyDescent="0.25">
      <c r="D1022" s="7"/>
    </row>
    <row r="1023" spans="4:4" x14ac:dyDescent="0.25">
      <c r="D1023" s="7"/>
    </row>
    <row r="1024" spans="4:4" x14ac:dyDescent="0.25">
      <c r="D1024" s="7"/>
    </row>
    <row r="1025" spans="4:4" x14ac:dyDescent="0.25">
      <c r="D1025" s="7"/>
    </row>
    <row r="1026" spans="4:4" x14ac:dyDescent="0.25">
      <c r="D1026" s="7"/>
    </row>
    <row r="1027" spans="4:4" x14ac:dyDescent="0.25">
      <c r="D1027" s="7"/>
    </row>
    <row r="1028" spans="4:4" x14ac:dyDescent="0.25">
      <c r="D1028" s="7"/>
    </row>
    <row r="1029" spans="4:4" x14ac:dyDescent="0.25">
      <c r="D1029" s="7"/>
    </row>
    <row r="1030" spans="4:4" x14ac:dyDescent="0.25">
      <c r="D1030" s="7"/>
    </row>
    <row r="1031" spans="4:4" x14ac:dyDescent="0.25">
      <c r="D1031" s="7"/>
    </row>
    <row r="1032" spans="4:4" x14ac:dyDescent="0.25">
      <c r="D1032" s="7"/>
    </row>
    <row r="1033" spans="4:4" x14ac:dyDescent="0.25">
      <c r="D1033" s="7"/>
    </row>
    <row r="1034" spans="4:4" x14ac:dyDescent="0.25">
      <c r="D1034" s="7"/>
    </row>
    <row r="1035" spans="4:4" x14ac:dyDescent="0.25">
      <c r="D1035" s="7"/>
    </row>
    <row r="1036" spans="4:4" x14ac:dyDescent="0.25">
      <c r="D1036" s="7"/>
    </row>
    <row r="1037" spans="4:4" x14ac:dyDescent="0.25">
      <c r="D1037" s="7"/>
    </row>
    <row r="1038" spans="4:4" x14ac:dyDescent="0.25">
      <c r="D1038" s="7"/>
    </row>
    <row r="1039" spans="4:4" x14ac:dyDescent="0.25">
      <c r="D1039" s="7"/>
    </row>
    <row r="1040" spans="4:4" x14ac:dyDescent="0.25">
      <c r="D1040" s="7"/>
    </row>
    <row r="1041" spans="4:4" x14ac:dyDescent="0.25">
      <c r="D1041" s="7"/>
    </row>
    <row r="1042" spans="4:4" x14ac:dyDescent="0.25">
      <c r="D1042" s="7"/>
    </row>
    <row r="1043" spans="4:4" x14ac:dyDescent="0.25">
      <c r="D1043" s="7"/>
    </row>
    <row r="1044" spans="4:4" x14ac:dyDescent="0.25">
      <c r="D1044" s="7"/>
    </row>
    <row r="1045" spans="4:4" x14ac:dyDescent="0.25">
      <c r="D1045" s="7"/>
    </row>
    <row r="1046" spans="4:4" x14ac:dyDescent="0.25">
      <c r="D1046" s="7"/>
    </row>
    <row r="1047" spans="4:4" x14ac:dyDescent="0.25">
      <c r="D1047" s="7"/>
    </row>
    <row r="1048" spans="4:4" x14ac:dyDescent="0.25">
      <c r="D1048" s="7"/>
    </row>
    <row r="1049" spans="4:4" x14ac:dyDescent="0.25">
      <c r="D1049" s="7"/>
    </row>
    <row r="1050" spans="4:4" x14ac:dyDescent="0.25">
      <c r="D1050" s="7"/>
    </row>
    <row r="1051" spans="4:4" x14ac:dyDescent="0.25">
      <c r="D1051" s="7"/>
    </row>
    <row r="1052" spans="4:4" x14ac:dyDescent="0.25">
      <c r="D1052" s="7"/>
    </row>
    <row r="1053" spans="4:4" x14ac:dyDescent="0.25">
      <c r="D1053" s="7"/>
    </row>
    <row r="1054" spans="4:4" x14ac:dyDescent="0.25">
      <c r="D1054" s="7"/>
    </row>
    <row r="1055" spans="4:4" x14ac:dyDescent="0.25">
      <c r="D1055" s="7"/>
    </row>
    <row r="1056" spans="4:4" x14ac:dyDescent="0.25">
      <c r="D1056" s="7"/>
    </row>
    <row r="1057" spans="4:4" x14ac:dyDescent="0.25">
      <c r="D1057" s="7"/>
    </row>
    <row r="1058" spans="4:4" x14ac:dyDescent="0.25">
      <c r="D1058" s="7"/>
    </row>
    <row r="1059" spans="4:4" x14ac:dyDescent="0.25">
      <c r="D1059" s="7"/>
    </row>
    <row r="1060" spans="4:4" x14ac:dyDescent="0.25">
      <c r="D1060" s="7"/>
    </row>
    <row r="1061" spans="4:4" x14ac:dyDescent="0.25">
      <c r="D1061" s="7"/>
    </row>
    <row r="1062" spans="4:4" x14ac:dyDescent="0.25">
      <c r="D1062" s="7"/>
    </row>
    <row r="1063" spans="4:4" x14ac:dyDescent="0.25">
      <c r="D1063" s="7"/>
    </row>
    <row r="1064" spans="4:4" x14ac:dyDescent="0.25">
      <c r="D1064" s="7"/>
    </row>
    <row r="1065" spans="4:4" x14ac:dyDescent="0.25">
      <c r="D1065" s="7"/>
    </row>
    <row r="1066" spans="4:4" x14ac:dyDescent="0.25">
      <c r="D1066" s="7"/>
    </row>
    <row r="1067" spans="4:4" x14ac:dyDescent="0.25">
      <c r="D1067" s="7"/>
    </row>
    <row r="1068" spans="4:4" x14ac:dyDescent="0.25">
      <c r="D1068" s="7"/>
    </row>
    <row r="1069" spans="4:4" x14ac:dyDescent="0.25">
      <c r="D1069" s="7"/>
    </row>
    <row r="1070" spans="4:4" x14ac:dyDescent="0.25">
      <c r="D1070" s="7"/>
    </row>
    <row r="1071" spans="4:4" x14ac:dyDescent="0.25">
      <c r="D1071" s="7"/>
    </row>
    <row r="1072" spans="4:4" x14ac:dyDescent="0.25">
      <c r="D1072" s="7"/>
    </row>
    <row r="1073" spans="4:4" x14ac:dyDescent="0.25">
      <c r="D1073" s="7"/>
    </row>
    <row r="1074" spans="4:4" x14ac:dyDescent="0.25">
      <c r="D1074" s="7"/>
    </row>
    <row r="1075" spans="4:4" x14ac:dyDescent="0.25">
      <c r="D1075" s="7"/>
    </row>
    <row r="1076" spans="4:4" x14ac:dyDescent="0.25">
      <c r="D1076" s="7"/>
    </row>
    <row r="1077" spans="4:4" x14ac:dyDescent="0.25">
      <c r="D1077" s="7"/>
    </row>
    <row r="1078" spans="4:4" x14ac:dyDescent="0.25">
      <c r="D1078" s="7"/>
    </row>
    <row r="1079" spans="4:4" x14ac:dyDescent="0.25">
      <c r="D1079" s="7"/>
    </row>
    <row r="1080" spans="4:4" x14ac:dyDescent="0.25">
      <c r="D1080" s="7"/>
    </row>
    <row r="1081" spans="4:4" x14ac:dyDescent="0.25">
      <c r="D1081" s="7"/>
    </row>
    <row r="1082" spans="4:4" x14ac:dyDescent="0.25">
      <c r="D1082" s="7"/>
    </row>
    <row r="1083" spans="4:4" x14ac:dyDescent="0.25">
      <c r="D1083" s="7"/>
    </row>
    <row r="1084" spans="4:4" x14ac:dyDescent="0.25">
      <c r="D1084" s="7"/>
    </row>
    <row r="1085" spans="4:4" x14ac:dyDescent="0.25">
      <c r="D1085" s="7"/>
    </row>
    <row r="1086" spans="4:4" x14ac:dyDescent="0.25">
      <c r="D1086" s="7"/>
    </row>
    <row r="1087" spans="4:4" x14ac:dyDescent="0.25">
      <c r="D1087" s="7"/>
    </row>
    <row r="1088" spans="4:4" x14ac:dyDescent="0.25">
      <c r="D1088" s="7"/>
    </row>
    <row r="1089" spans="4:4" x14ac:dyDescent="0.25">
      <c r="D1089" s="7"/>
    </row>
    <row r="1090" spans="4:4" x14ac:dyDescent="0.25">
      <c r="D1090" s="7"/>
    </row>
    <row r="1091" spans="4:4" x14ac:dyDescent="0.25">
      <c r="D1091" s="7"/>
    </row>
    <row r="1092" spans="4:4" x14ac:dyDescent="0.25">
      <c r="D1092" s="7"/>
    </row>
    <row r="1093" spans="4:4" x14ac:dyDescent="0.25">
      <c r="D1093" s="7"/>
    </row>
    <row r="1094" spans="4:4" x14ac:dyDescent="0.25">
      <c r="D1094" s="7"/>
    </row>
    <row r="1095" spans="4:4" x14ac:dyDescent="0.25">
      <c r="D1095" s="7"/>
    </row>
    <row r="1096" spans="4:4" x14ac:dyDescent="0.25">
      <c r="D1096" s="7"/>
    </row>
    <row r="1097" spans="4:4" x14ac:dyDescent="0.25">
      <c r="D1097" s="7"/>
    </row>
    <row r="1098" spans="4:4" x14ac:dyDescent="0.25">
      <c r="D109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720BB-9D12-4DB6-93CF-41FF806F6A24}">
  <sheetPr codeName="Sheet4"/>
  <dimension ref="A1:B16"/>
  <sheetViews>
    <sheetView workbookViewId="0">
      <selection activeCell="F14" sqref="F14"/>
    </sheetView>
  </sheetViews>
  <sheetFormatPr defaultRowHeight="15" x14ac:dyDescent="0.25"/>
  <cols>
    <col min="1" max="1" width="16" bestFit="1" customWidth="1"/>
    <col min="2" max="2" width="22.7109375" bestFit="1" customWidth="1"/>
    <col min="3" max="5" width="10" bestFit="1" customWidth="1"/>
    <col min="6" max="6" width="9" bestFit="1" customWidth="1"/>
    <col min="7" max="7" width="11.28515625" bestFit="1" customWidth="1"/>
    <col min="8" max="22" width="14.5703125" bestFit="1" customWidth="1"/>
    <col min="23" max="29" width="13.5703125" bestFit="1" customWidth="1"/>
    <col min="30" max="41" width="14.5703125" bestFit="1" customWidth="1"/>
    <col min="42" max="47" width="13.5703125" bestFit="1" customWidth="1"/>
    <col min="48" max="63" width="14.5703125" bestFit="1" customWidth="1"/>
    <col min="64" max="69" width="13.5703125" bestFit="1" customWidth="1"/>
    <col min="70" max="82" width="14.5703125" bestFit="1" customWidth="1"/>
    <col min="83" max="88" width="13.5703125" bestFit="1" customWidth="1"/>
    <col min="89" max="104" width="14.5703125" bestFit="1" customWidth="1"/>
    <col min="105" max="111" width="13.5703125" bestFit="1" customWidth="1"/>
    <col min="112" max="125" width="14.5703125" bestFit="1" customWidth="1"/>
    <col min="126" max="131" width="13.5703125" bestFit="1" customWidth="1"/>
    <col min="132" max="146" width="14.5703125" bestFit="1" customWidth="1"/>
    <col min="147" max="153" width="13.5703125" bestFit="1" customWidth="1"/>
    <col min="154" max="169" width="14.5703125" bestFit="1" customWidth="1"/>
    <col min="170" max="175" width="13.5703125" bestFit="1" customWidth="1"/>
    <col min="176" max="195" width="14.5703125" bestFit="1" customWidth="1"/>
    <col min="196" max="210" width="15.5703125" bestFit="1" customWidth="1"/>
    <col min="211" max="216" width="14.5703125" bestFit="1" customWidth="1"/>
    <col min="217" max="230" width="15.5703125" bestFit="1" customWidth="1"/>
    <col min="231" max="237" width="14.5703125" bestFit="1" customWidth="1"/>
    <col min="238" max="252" width="15.5703125" bestFit="1" customWidth="1"/>
    <col min="253" max="258" width="13.5703125" bestFit="1" customWidth="1"/>
    <col min="259" max="274" width="14.5703125" bestFit="1" customWidth="1"/>
    <col min="275" max="281" width="13.5703125" bestFit="1" customWidth="1"/>
    <col min="282" max="292" width="14.5703125" bestFit="1" customWidth="1"/>
    <col min="293" max="299" width="13.5703125" bestFit="1" customWidth="1"/>
    <col min="300" max="315" width="14.5703125" bestFit="1" customWidth="1"/>
    <col min="316" max="319" width="13.5703125" bestFit="1" customWidth="1"/>
    <col min="320" max="333" width="14.5703125" bestFit="1" customWidth="1"/>
    <col min="334" max="339" width="13.5703125" bestFit="1" customWidth="1"/>
    <col min="340" max="355" width="14.5703125" bestFit="1" customWidth="1"/>
    <col min="356" max="361" width="13.5703125" bestFit="1" customWidth="1"/>
    <col min="362" max="376" width="14.5703125" bestFit="1" customWidth="1"/>
    <col min="377" max="381" width="13.5703125" bestFit="1" customWidth="1"/>
    <col min="382" max="397" width="14.5703125" bestFit="1" customWidth="1"/>
    <col min="398" max="404" width="13.5703125" bestFit="1" customWidth="1"/>
    <col min="405" max="420" width="14.5703125" bestFit="1" customWidth="1"/>
    <col min="421" max="425" width="13.5703125" bestFit="1" customWidth="1"/>
    <col min="426" max="446" width="14.5703125" bestFit="1" customWidth="1"/>
    <col min="447" max="461" width="15.5703125" bestFit="1" customWidth="1"/>
    <col min="462" max="467" width="14.5703125" bestFit="1" customWidth="1"/>
    <col min="468" max="481" width="15.5703125" bestFit="1" customWidth="1"/>
    <col min="482" max="487" width="14.5703125" bestFit="1" customWidth="1"/>
    <col min="488" max="501" width="15.5703125" bestFit="1" customWidth="1"/>
    <col min="502" max="507" width="13.5703125" bestFit="1" customWidth="1"/>
    <col min="508" max="523" width="14.5703125" bestFit="1" customWidth="1"/>
    <col min="524" max="530" width="13.5703125" bestFit="1" customWidth="1"/>
    <col min="531" max="542" width="14.5703125" bestFit="1" customWidth="1"/>
    <col min="543" max="548" width="13.5703125" bestFit="1" customWidth="1"/>
    <col min="549" max="562" width="14.5703125" bestFit="1" customWidth="1"/>
    <col min="563" max="569" width="13.5703125" bestFit="1" customWidth="1"/>
    <col min="570" max="584" width="14.5703125" bestFit="1" customWidth="1"/>
    <col min="585" max="590" width="13.5703125" bestFit="1" customWidth="1"/>
    <col min="591" max="605" width="14.5703125" bestFit="1" customWidth="1"/>
    <col min="606" max="610" width="13.5703125" bestFit="1" customWidth="1"/>
    <col min="611" max="625" width="14.5703125" bestFit="1" customWidth="1"/>
    <col min="626" max="632" width="13.5703125" bestFit="1" customWidth="1"/>
    <col min="633" max="648" width="14.5703125" bestFit="1" customWidth="1"/>
    <col min="649" max="655" width="13.5703125" bestFit="1" customWidth="1"/>
    <col min="656" max="670" width="14.5703125" bestFit="1" customWidth="1"/>
    <col min="671" max="676" width="13.5703125" bestFit="1" customWidth="1"/>
    <col min="677" max="698" width="14.5703125" bestFit="1" customWidth="1"/>
    <col min="699" max="714" width="15.5703125" bestFit="1" customWidth="1"/>
    <col min="715" max="720" width="14.5703125" bestFit="1" customWidth="1"/>
    <col min="721" max="733" width="15.5703125" bestFit="1" customWidth="1"/>
    <col min="734" max="739" width="14.5703125" bestFit="1" customWidth="1"/>
    <col min="740" max="754" width="15.5703125" bestFit="1" customWidth="1"/>
    <col min="755" max="760" width="13.5703125" bestFit="1" customWidth="1"/>
    <col min="761" max="776" width="14.5703125" bestFit="1" customWidth="1"/>
    <col min="777" max="781" width="13.5703125" bestFit="1" customWidth="1"/>
    <col min="782" max="796" width="14.5703125" bestFit="1" customWidth="1"/>
    <col min="797" max="799" width="13.5703125" bestFit="1" customWidth="1"/>
    <col min="800" max="815" width="14.5703125" bestFit="1" customWidth="1"/>
    <col min="816" max="822" width="13.5703125" bestFit="1" customWidth="1"/>
    <col min="823" max="835" width="14.5703125" bestFit="1" customWidth="1"/>
    <col min="836" max="841" width="13.5703125" bestFit="1" customWidth="1"/>
    <col min="842" max="856" width="14.5703125" bestFit="1" customWidth="1"/>
    <col min="857" max="862" width="13.5703125" bestFit="1" customWidth="1"/>
    <col min="863" max="876" width="14.5703125" bestFit="1" customWidth="1"/>
    <col min="877" max="883" width="13.5703125" bestFit="1" customWidth="1"/>
    <col min="884" max="899" width="14.5703125" bestFit="1" customWidth="1"/>
    <col min="900" max="905" width="13.5703125" bestFit="1" customWidth="1"/>
    <col min="906" max="920" width="14.5703125" bestFit="1" customWidth="1"/>
    <col min="921" max="927" width="13.5703125" bestFit="1" customWidth="1"/>
    <col min="928" max="949" width="14.5703125" bestFit="1" customWidth="1"/>
    <col min="950" max="965" width="15.5703125" bestFit="1" customWidth="1"/>
    <col min="966" max="970" width="14.5703125" bestFit="1" customWidth="1"/>
    <col min="971" max="984" width="15.5703125" bestFit="1" customWidth="1"/>
    <col min="985" max="991" width="14.5703125" bestFit="1" customWidth="1"/>
    <col min="992" max="1000" width="15.5703125" bestFit="1" customWidth="1"/>
    <col min="1001" max="1006" width="13.5703125" bestFit="1" customWidth="1"/>
    <col min="1007" max="1021" width="14.5703125" bestFit="1" customWidth="1"/>
    <col min="1022" max="1027" width="13.5703125" bestFit="1" customWidth="1"/>
    <col min="1028" max="1039" width="14.5703125" bestFit="1" customWidth="1"/>
    <col min="1040" max="1045" width="13.5703125" bestFit="1" customWidth="1"/>
    <col min="1046" max="1061" width="14.5703125" bestFit="1" customWidth="1"/>
    <col min="1062" max="1067" width="13.5703125" bestFit="1" customWidth="1"/>
    <col min="1068" max="1081" width="14.5703125" bestFit="1" customWidth="1"/>
    <col min="1082" max="1086" width="13.5703125" bestFit="1" customWidth="1"/>
    <col min="1087" max="1090" width="14.5703125" bestFit="1" customWidth="1"/>
    <col min="1091" max="1091" width="11.28515625" bestFit="1" customWidth="1"/>
  </cols>
  <sheetData>
    <row r="1" spans="1:2" x14ac:dyDescent="0.25">
      <c r="A1" s="15" t="s">
        <v>1</v>
      </c>
      <c r="B1" t="s">
        <v>17</v>
      </c>
    </row>
    <row r="3" spans="1:2" x14ac:dyDescent="0.25">
      <c r="A3" s="15" t="s">
        <v>20</v>
      </c>
      <c r="B3" t="s">
        <v>18</v>
      </c>
    </row>
    <row r="4" spans="1:2" x14ac:dyDescent="0.25">
      <c r="A4" s="17" t="s">
        <v>21</v>
      </c>
      <c r="B4" s="16">
        <v>641.25859999999966</v>
      </c>
    </row>
    <row r="5" spans="1:2" x14ac:dyDescent="0.25">
      <c r="A5" s="17" t="s">
        <v>22</v>
      </c>
      <c r="B5" s="16">
        <v>544.19479999999987</v>
      </c>
    </row>
    <row r="6" spans="1:2" x14ac:dyDescent="0.25">
      <c r="A6" s="17" t="s">
        <v>23</v>
      </c>
      <c r="B6" s="16">
        <v>608.36249999999984</v>
      </c>
    </row>
    <row r="7" spans="1:2" x14ac:dyDescent="0.25">
      <c r="A7" s="17" t="s">
        <v>24</v>
      </c>
      <c r="B7" s="16">
        <v>571.42759999999976</v>
      </c>
    </row>
    <row r="8" spans="1:2" x14ac:dyDescent="0.25">
      <c r="A8" s="17" t="s">
        <v>25</v>
      </c>
      <c r="B8" s="16">
        <v>536.95309999999995</v>
      </c>
    </row>
    <row r="9" spans="1:2" x14ac:dyDescent="0.25">
      <c r="A9" s="17" t="s">
        <v>26</v>
      </c>
      <c r="B9" s="16">
        <v>466.3207000000001</v>
      </c>
    </row>
    <row r="10" spans="1:2" x14ac:dyDescent="0.25">
      <c r="A10" s="17" t="s">
        <v>27</v>
      </c>
      <c r="B10" s="16">
        <v>512.79250000000013</v>
      </c>
    </row>
    <row r="11" spans="1:2" x14ac:dyDescent="0.25">
      <c r="A11" s="17" t="s">
        <v>28</v>
      </c>
      <c r="B11" s="16">
        <v>510.55740000000003</v>
      </c>
    </row>
    <row r="12" spans="1:2" x14ac:dyDescent="0.25">
      <c r="A12" s="17" t="s">
        <v>29</v>
      </c>
      <c r="B12" s="16">
        <v>481.91299999999995</v>
      </c>
    </row>
    <row r="13" spans="1:2" x14ac:dyDescent="0.25">
      <c r="A13" s="17" t="s">
        <v>30</v>
      </c>
      <c r="B13" s="16">
        <v>500.75579999999997</v>
      </c>
    </row>
    <row r="14" spans="1:2" x14ac:dyDescent="0.25">
      <c r="A14" s="17" t="s">
        <v>31</v>
      </c>
      <c r="B14" s="16">
        <v>448.44019999999989</v>
      </c>
    </row>
    <row r="15" spans="1:2" x14ac:dyDescent="0.25">
      <c r="A15" s="17" t="s">
        <v>32</v>
      </c>
      <c r="B15" s="16">
        <v>464.34450000000004</v>
      </c>
    </row>
    <row r="16" spans="1:2" x14ac:dyDescent="0.25">
      <c r="A16" s="17" t="s">
        <v>19</v>
      </c>
      <c r="B16" s="16">
        <v>6287.3206999999984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Main_Macros</vt:lpstr>
      <vt:lpstr>Euro</vt:lpstr>
      <vt:lpstr>Dolar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2026-05-15T22:48:08Z</dcterms:modified>
</cp:coreProperties>
</file>