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D8A97C35-B3E0-4F41-9EB7-BE0A19EDF7FD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  <sheet name="Graphs" sheetId="5" r:id="rId6"/>
  </sheets>
  <definedNames>
    <definedName name="dolar_currency">dolar_table[#All]</definedName>
    <definedName name="euro_currency">euro_table[#All]</definedName>
  </definedNames>
  <calcPr calcId="191029"/>
  <pivotCaches>
    <pivotCache cacheId="0" r:id="rId7"/>
    <pivotCache cacheId="306" r:id="rId8"/>
    <pivotCache cacheId="311" r:id="rId9"/>
    <pivotCache cacheId="315" r:id="rId10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/>
  <c r="B24" i="1" s="1"/>
  <c r="C30" i="1"/>
  <c r="B30" i="1" s="1"/>
</calcChain>
</file>

<file path=xl/sharedStrings.xml><?xml version="1.0" encoding="utf-8"?>
<sst xmlns="http://schemas.openxmlformats.org/spreadsheetml/2006/main" count="451" uniqueCount="34">
  <si>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</si>
  <si>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</si>
  <si>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</si>
  <si>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</si>
  <si>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</si>
  <si>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</si>
  <si>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</si>
  <si>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</si>
  <si>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</si>
  <si>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</si>
  <si>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</si>
  <si>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</si>
  <si>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</si>
  <si>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</si>
  <si>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</si>
  <si>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</si>
  <si>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</si>
  <si>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</si>
  <si>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</si>
  <si>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</si>
  <si>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</si>
  <si>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</si>
  <si>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</si>
  <si>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</si>
  <si>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</si>
  <si>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https://olinda.bcb.gov.br/olinda/servico/PTAX/versao/v1/odata/CotacaoMoedaPeriodo(moeda=@moeda,dataInicial=@dataInicial,dataFinalCotacao=@dataFinalCotacao)?@moeda='USD'&amp;@dataInicial='01-01-2026'&amp;@dataFinalCotacao='05-18-2026'&amp;$top=1000&amp;$filter=tipoBoletim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</si>
  <si>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https://olinda.bcb.gov.br/olinda/servico/PTAX/versao/v1/odata/CotacaoMoedaPeriodo(moeda=@moeda,dataInicial=@dataInicial,dataFinalCotacao=@dataFinalCotacao)?@moeda='EUR'&amp;@dataInicial='01-01-2026'&amp;@dataFinalCotacao='05-18-2026'&amp;$top=1000&amp;$filter=tipoBoletim eq 'Fechamento'&amp;$orderby=dataHoraCotacao&amp;$format=json&amp;$select=cotacaoCompra,cotacaoVenda,dataHoraCotacao,tipoBoletim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</si>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</sst>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6"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64" formatCode="dd/mm/yyyy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Currency_Graphs!$B$3:$B$8</c:f>
              <c:numCache>
                <c:formatCode>0.00</c:formatCode>
                <c:ptCount val="5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Currency_Graphs!$A$3:$A$8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Currency_Graphs!$B$3:$B$8</c:f>
              <c:numCache>
                <c:formatCode>0.00</c:formatCode>
                <c:ptCount val="5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[Advanced_Imported_Analyses.xlsm]Graphs!PivotTable1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Maior Valor do Euro De Cada Mês de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013103917565867E-2"/>
          <c:y val="0.17825495052236809"/>
          <c:w val="0.86891680762126955"/>
          <c:h val="0.6714243222899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Graphs!$A$4:$A$9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Graphs!$B$4:$B$9</c:f>
              <c:numCache>
                <c:formatCode>0.00</c:formatCode>
                <c:ptCount val="5"/>
                <c:pt idx="0">
                  <c:v>6.3898000000000001</c:v>
                </c:pt>
                <c:pt idx="1">
                  <c:v>6.2016</c:v>
                </c:pt>
                <c:pt idx="2">
                  <c:v>6.1238000000000001</c:v>
                </c:pt>
                <c:pt idx="3">
                  <c:v>5.9935</c:v>
                </c:pt>
                <c:pt idx="4">
                  <c:v>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FC-450B-818D-CF16614DF7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6216032"/>
        <c:axId val="1636233792"/>
      </c:barChart>
      <c:catAx>
        <c:axId val="16362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33792"/>
        <c:crosses val="autoZero"/>
        <c:auto val="1"/>
        <c:lblAlgn val="ctr"/>
        <c:lblOffset val="100"/>
        <c:noMultiLvlLbl val="0"/>
      </c:catAx>
      <c:valAx>
        <c:axId val="16362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61172353455817"/>
          <c:y val="0.91355182735032536"/>
          <c:w val="0.14338827646544183"/>
          <c:h val="8.5852741411773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[Advanced_Imported_Analyses.xlsm]Graphs!PivotTable2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Menor Valor</a:t>
            </a:r>
            <a:r>
              <a:rPr lang="en-US" baseline="0"/>
              <a:t> do Euro em Cada Mês em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013103917565867E-2"/>
          <c:y val="0.17825495052236809"/>
          <c:w val="0.86891680762126955"/>
          <c:h val="0.6714243222899877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Graphs!$B$24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Graphs!$A$25:$A$30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Graphs!$B$25:$B$30</c:f>
              <c:numCache>
                <c:formatCode>0.00</c:formatCode>
                <c:ptCount val="5"/>
                <c:pt idx="0">
                  <c:v>6.1925999999999997</c:v>
                </c:pt>
                <c:pt idx="1">
                  <c:v>6.0631000000000004</c:v>
                </c:pt>
                <c:pt idx="2">
                  <c:v>5.9680999999999997</c:v>
                </c:pt>
                <c:pt idx="3">
                  <c:v>5.7984999999999998</c:v>
                </c:pt>
                <c:pt idx="4">
                  <c:v>5.7465000000000002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035-422D-B437-91B89140FF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6216032"/>
        <c:axId val="1636233792"/>
      </c:barChart>
      <c:catAx>
        <c:axId val="163621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33792"/>
        <c:crosses val="autoZero"/>
        <c:auto val="1"/>
        <c:lblAlgn val="ctr"/>
        <c:lblOffset val="100"/>
        <c:noMultiLvlLbl val="0"/>
      </c:catAx>
      <c:valAx>
        <c:axId val="163623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621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661172353455817"/>
          <c:y val="0.91355182735032536"/>
          <c:w val="0.14338827646544183"/>
          <c:h val="8.5852741411773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2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171449</xdr:colOff>
      <xdr:row>0</xdr:row>
      <xdr:rowOff>176211</xdr:rowOff>
    </xdr:from>
    <xdr:to>
      <xdr:col>13</xdr:col>
      <xdr:colOff>323849</xdr:colOff>
      <xdr:row>19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8D315D-60A6-68C6-E615-4DF4EDC82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21</xdr:row>
      <xdr:rowOff>19051</xdr:rowOff>
    </xdr:from>
    <xdr:to>
      <xdr:col>13</xdr:col>
      <xdr:colOff>333375</xdr:colOff>
      <xdr:row>40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7E8B7-D35A-C1B0-5DA6-1573931AD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57.914104166666" createdVersion="8" refreshedVersion="8" minRefreshableVersion="3" recordCount="91" xr:uid="{1A5C08D5-53EB-4EBC-9D05-A8EF0B67B0A5}">
  <cacheSource type="worksheet">
    <worksheetSource ref="A1:I92" sheet="Euro"/>
  </cacheSource>
  <cacheFields count="11">
    <cacheField name="id" numFmtId="0">
      <sharedItems containsSemiMixedTypes="0" containsString="0" containsNumber="1" containsInteger="1" minValue="17727" maxValue="1781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22">
      <sharedItems containsSemiMixedTypes="0" containsNonDate="0" containsDate="1" containsString="0" minDate="2026-01-02T13:03:33" maxDate="2026-05-15T13:08:27" count="91"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</sharedItems>
      <fieldGroup par="10"/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  <cacheField name="Days (datahoracotacao)" numFmtId="0" databaseField="0">
      <fieldGroup base="3">
        <rangePr groupBy="days" startDate="2026-01-02T13:03:33" endDate="2026-05-15T13:08:27"/>
        <groupItems count="368">
          <s v="&lt;1/2/2026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15/2026"/>
        </groupItems>
      </fieldGroup>
    </cacheField>
    <cacheField name="Months (datahoracotacao)" numFmtId="0" databaseField="0">
      <fieldGroup base="3">
        <rangePr groupBy="months" startDate="2026-01-02T13:03:33" endDate="2026-05-15T13:08:27"/>
        <groupItems count="14">
          <s v="&lt;1/2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15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60.958532175922" createdVersion="8" refreshedVersion="8" minRefreshableVersion="3" recordCount="92" xr:uid="{92E3347D-DD24-4870-8D48-68A312F0DC2D}">
  <cacheSource type="worksheet">
    <worksheetSource ref="A1:J93" sheet="Dolar"/>
  </cacheSource>
  <cacheFields count="10">
    <cacheField name="id" numFmtId="0">
      <sharedItems containsSemiMixedTypes="0" containsString="0" containsNumber="1" containsInteger="1" minValue="21791" maxValue="21882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5-18T13:04:26"/>
    </cacheField>
    <cacheField name="mês" numFmtId="0">
      <sharedItems count="5">
        <s v="Jan"/>
        <s v="Feb"/>
        <s v="Mar"/>
        <s v="Apr"/>
        <s v="May"/>
      </sharedItems>
    </cacheField>
    <cacheField name="variacao_venda" numFmtId="0">
      <sharedItems containsSemiMixedTypes="0" containsString="0" containsNumber="1" minValue="-0.08" maxValue="0.09"/>
    </cacheField>
    <cacheField name="variacao_compra" numFmtId="0">
      <sharedItems containsSemiMixedTypes="0" containsString="0" containsNumber="1" minValue="-0.08" maxValue="0.09"/>
    </cacheField>
    <cacheField name="variacao_pct_venda" numFmtId="0">
      <sharedItems containsSemiMixedTypes="0" containsString="0" containsNumber="1" minValue="-1.47" maxValue="1.7"/>
    </cacheField>
    <cacheField name="variacao_pct_compra" numFmtId="0">
      <sharedItems containsSemiMixedTypes="0" containsString="0" containsNumber="1" minValue="-1.47" maxValue="1.7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60.970943749999" createdVersion="8" refreshedVersion="8" minRefreshableVersion="3" recordCount="93" xr:uid="{FD33D897-BAFE-420C-BC83-5D64874137DB}">
  <cacheSource type="worksheet">
    <worksheetSource ref="A1:J93" sheet="Dolar"/>
  </cacheSource>
  <cacheFields count="10">
    <cacheField name="id" numFmtId="0">
      <sharedItems containsSemiMixedTypes="0" containsString="0" containsNumber="1" containsInteger="1" minValue="21" maxValue="21882"/>
    </cacheField>
    <cacheField name="cotacao_compra" numFmtId="0">
      <sharedItems containsSemiMixedTypes="0" containsString="0" containsNumber="1" minValue="3" maxValue="5.4366000000000003"/>
    </cacheField>
    <cacheField name="cotacao_venda" numFmtId="0">
      <sharedItems containsSemiMixedTypes="0" containsString="0" containsNumber="1" minValue="4" maxValue="5.4371999999999998"/>
    </cacheField>
    <cacheField name="datahoracotacao" numFmtId="164">
      <sharedItems containsSemiMixedTypes="0" containsNonDate="0" containsDate="1" containsString="0" minDate="2026-01-02T13:03:33" maxDate="2026-06-15T13:08:27"/>
    </cacheField>
    <cacheField name="mês" numFmtId="0">
      <sharedItems count="6">
        <s v="Jan"/>
        <s v="Feb"/>
        <s v="Mar"/>
        <s v="Apr"/>
        <s v="May"/>
        <s v="Jun"/>
      </sharedItems>
    </cacheField>
    <cacheField name="variacao_venda" numFmtId="0">
      <sharedItems containsSemiMixedTypes="0" containsString="0" containsNumber="1" minValue="-0.08" maxValue="0.09"/>
    </cacheField>
    <cacheField name="variacao_compra" numFmtId="0">
      <sharedItems containsSemiMixedTypes="0" containsString="0" containsNumber="1" minValue="-0.08" maxValue="0.09"/>
    </cacheField>
    <cacheField name="variacao_pct_venda" numFmtId="0">
      <sharedItems containsSemiMixedTypes="0" containsString="0" containsNumber="1" minValue="-1.47" maxValue="1.7"/>
    </cacheField>
    <cacheField name="variacao_pct_compra" numFmtId="0">
      <sharedItems containsSemiMixedTypes="0" containsString="0" containsNumber="1" minValue="-1.47" maxValue="1.7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160.970944212961" createdVersion="8" refreshedVersion="8" minRefreshableVersion="3" recordCount="92" xr:uid="{AE577BD4-18A7-4504-BF2D-CCE9FE1EBF64}">
  <cacheSource type="worksheet">
    <worksheetSource ref="A1:J93" sheet="Euro"/>
  </cacheSource>
  <cacheFields count="10">
    <cacheField name="id" numFmtId="0">
      <sharedItems containsSemiMixedTypes="0" containsString="0" containsNumber="1" containsInteger="1" minValue="18182" maxValue="18273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5-18T13:04:26"/>
    </cacheField>
    <cacheField name="mês" numFmtId="0">
      <sharedItems count="5">
        <s v="Jan"/>
        <s v="Feb"/>
        <s v="Mar"/>
        <s v="Apr"/>
        <s v="May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17727"/>
    <n v="6.3879999999999999"/>
    <n v="6.3898000000000001"/>
    <x v="0"/>
    <n v="0"/>
    <n v="0"/>
    <n v="0"/>
    <n v="0"/>
    <s v="Fechamento"/>
  </r>
  <r>
    <n v="17728"/>
    <n v="6.3605"/>
    <n v="6.3617999999999997"/>
    <x v="1"/>
    <n v="-0.03"/>
    <n v="-0.03"/>
    <n v="-0.44"/>
    <n v="-0.43"/>
    <s v="Fechamento"/>
  </r>
  <r>
    <n v="17729"/>
    <n v="6.2908999999999997"/>
    <n v="6.2920999999999996"/>
    <x v="2"/>
    <n v="-7.0000000000000007E-2"/>
    <n v="-7.0000000000000007E-2"/>
    <n v="-1.1000000000000001"/>
    <n v="-1.0900000000000001"/>
    <s v="Fechamento"/>
  </r>
  <r>
    <n v="17730"/>
    <n v="6.2972999999999999"/>
    <n v="6.2991000000000001"/>
    <x v="3"/>
    <n v="0.01"/>
    <n v="0.01"/>
    <n v="0.11"/>
    <n v="0.1"/>
    <s v="Fechamento"/>
  </r>
  <r>
    <n v="17731"/>
    <n v="6.2820999999999998"/>
    <n v="6.2838000000000003"/>
    <x v="4"/>
    <n v="-0.02"/>
    <n v="-0.02"/>
    <n v="-0.24"/>
    <n v="-0.24"/>
    <s v="Fechamento"/>
  </r>
  <r>
    <n v="17732"/>
    <n v="6.2507999999999999"/>
    <n v="6.2526000000000002"/>
    <x v="5"/>
    <n v="-0.03"/>
    <n v="-0.03"/>
    <n v="-0.5"/>
    <n v="-0.5"/>
    <s v="Fechamento"/>
  </r>
  <r>
    <n v="17733"/>
    <n v="6.2789999999999999"/>
    <n v="6.2801999999999998"/>
    <x v="6"/>
    <n v="0.03"/>
    <n v="0.03"/>
    <n v="0.44"/>
    <n v="0.45"/>
    <s v="Fechamento"/>
  </r>
  <r>
    <n v="17734"/>
    <n v="6.2633000000000001"/>
    <n v="6.2651000000000003"/>
    <x v="7"/>
    <n v="-0.02"/>
    <n v="-0.02"/>
    <n v="-0.24"/>
    <n v="-0.25"/>
    <s v="Fechamento"/>
  </r>
  <r>
    <n v="17735"/>
    <n v="6.2713000000000001"/>
    <n v="6.2729999999999997"/>
    <x v="8"/>
    <n v="0.01"/>
    <n v="0.01"/>
    <n v="0.13"/>
    <n v="0.13"/>
    <s v="Fechamento"/>
  </r>
  <r>
    <n v="17736"/>
    <n v="6.2465000000000002"/>
    <n v="6.2477999999999998"/>
    <x v="9"/>
    <n v="-0.03"/>
    <n v="-0.02"/>
    <n v="-0.4"/>
    <n v="-0.4"/>
    <s v="Fechamento"/>
  </r>
  <r>
    <n v="17737"/>
    <n v="6.2366000000000001"/>
    <n v="6.2384000000000004"/>
    <x v="10"/>
    <n v="-0.01"/>
    <n v="-0.01"/>
    <n v="-0.15"/>
    <n v="-0.16"/>
    <s v="Fechamento"/>
  </r>
  <r>
    <n v="17738"/>
    <n v="6.2439999999999998"/>
    <n v="6.2457000000000003"/>
    <x v="11"/>
    <n v="0.01"/>
    <n v="0.01"/>
    <n v="0.12"/>
    <n v="0.12"/>
    <s v="Fechamento"/>
  </r>
  <r>
    <n v="17739"/>
    <n v="6.3071999999999999"/>
    <n v="6.3085000000000004"/>
    <x v="12"/>
    <n v="0.06"/>
    <n v="0.06"/>
    <n v="1.01"/>
    <n v="1.01"/>
    <s v="Fechamento"/>
  </r>
  <r>
    <n v="17740"/>
    <n v="6.2439"/>
    <n v="6.2450999999999999"/>
    <x v="13"/>
    <n v="-0.06"/>
    <n v="-0.06"/>
    <n v="-1"/>
    <n v="-1"/>
    <s v="Fechamento"/>
  </r>
  <r>
    <n v="17741"/>
    <n v="6.2321999999999997"/>
    <n v="6.2333999999999996"/>
    <x v="14"/>
    <n v="-0.01"/>
    <n v="-0.01"/>
    <n v="-0.19"/>
    <n v="-0.19"/>
    <s v="Fechamento"/>
  </r>
  <r>
    <n v="17742"/>
    <n v="6.2161999999999997"/>
    <n v="6.218"/>
    <x v="15"/>
    <n v="-0.02"/>
    <n v="-0.02"/>
    <n v="-0.25"/>
    <n v="-0.26"/>
    <s v="Fechamento"/>
  </r>
  <r>
    <n v="17743"/>
    <n v="6.2746000000000004"/>
    <n v="6.2763"/>
    <x v="16"/>
    <n v="0.06"/>
    <n v="0.06"/>
    <n v="0.94"/>
    <n v="0.94"/>
    <s v="Fechamento"/>
  </r>
  <r>
    <n v="17744"/>
    <n v="6.2601000000000004"/>
    <n v="6.2618999999999998"/>
    <x v="17"/>
    <n v="-0.01"/>
    <n v="-0.01"/>
    <n v="-0.23"/>
    <n v="-0.23"/>
    <s v="Fechamento"/>
  </r>
  <r>
    <n v="17745"/>
    <n v="6.1908000000000003"/>
    <n v="6.1925999999999997"/>
    <x v="18"/>
    <n v="-7.0000000000000007E-2"/>
    <n v="-7.0000000000000007E-2"/>
    <n v="-1.1100000000000001"/>
    <n v="-1.1100000000000001"/>
    <s v="Fechamento"/>
  </r>
  <r>
    <n v="17746"/>
    <n v="6.1966000000000001"/>
    <n v="6.1984000000000004"/>
    <x v="19"/>
    <n v="0.01"/>
    <n v="0.01"/>
    <n v="0.09"/>
    <n v="0.09"/>
    <s v="Fechamento"/>
  </r>
  <r>
    <n v="17747"/>
    <n v="6.22"/>
    <n v="6.2217000000000002"/>
    <x v="20"/>
    <n v="0.02"/>
    <n v="0.02"/>
    <n v="0.38"/>
    <n v="0.38"/>
    <s v="Fechamento"/>
  </r>
  <r>
    <n v="17748"/>
    <n v="6.2004000000000001"/>
    <n v="6.2016"/>
    <x v="21"/>
    <n v="-0.02"/>
    <n v="-0.02"/>
    <n v="-0.32"/>
    <n v="-0.32"/>
    <s v="Fechamento"/>
  </r>
  <r>
    <n v="17749"/>
    <n v="6.1694000000000004"/>
    <n v="6.1711999999999998"/>
    <x v="22"/>
    <n v="-0.03"/>
    <n v="-0.03"/>
    <n v="-0.49"/>
    <n v="-0.5"/>
    <s v="Fechamento"/>
  </r>
  <r>
    <n v="17750"/>
    <n v="6.1749999999999998"/>
    <n v="6.1768000000000001"/>
    <x v="23"/>
    <n v="0.01"/>
    <n v="0.01"/>
    <n v="0.09"/>
    <n v="0.09"/>
    <s v="Fechamento"/>
  </r>
  <r>
    <n v="17751"/>
    <n v="6.1985000000000001"/>
    <n v="6.2001999999999997"/>
    <x v="24"/>
    <n v="0.02"/>
    <n v="0.02"/>
    <n v="0.38"/>
    <n v="0.38"/>
    <s v="Fechamento"/>
  </r>
  <r>
    <n v="17752"/>
    <n v="6.1855000000000002"/>
    <n v="6.1867000000000001"/>
    <x v="25"/>
    <n v="-0.01"/>
    <n v="-0.01"/>
    <n v="-0.22"/>
    <n v="-0.21"/>
    <s v="Fechamento"/>
  </r>
  <r>
    <n v="17753"/>
    <n v="6.1867000000000001"/>
    <n v="6.1879999999999997"/>
    <x v="26"/>
    <n v="0"/>
    <n v="0"/>
    <n v="0.02"/>
    <n v="0.02"/>
    <s v="Fechamento"/>
  </r>
  <r>
    <n v="17754"/>
    <n v="6.1965000000000003"/>
    <n v="6.1982999999999997"/>
    <x v="27"/>
    <n v="0.01"/>
    <n v="0.01"/>
    <n v="0.17"/>
    <n v="0.16"/>
    <s v="Fechamento"/>
  </r>
  <r>
    <n v="17755"/>
    <n v="6.1459999999999999"/>
    <n v="6.1477000000000004"/>
    <x v="28"/>
    <n v="-0.05"/>
    <n v="-0.05"/>
    <n v="-0.82"/>
    <n v="-0.81"/>
    <s v="Fechamento"/>
  </r>
  <r>
    <n v="17756"/>
    <n v="6.1406999999999998"/>
    <n v="6.1425000000000001"/>
    <x v="29"/>
    <n v="-0.01"/>
    <n v="-0.01"/>
    <n v="-0.08"/>
    <n v="-0.09"/>
    <s v="Fechamento"/>
  </r>
  <r>
    <n v="17757"/>
    <n v="6.1943999999999999"/>
    <n v="6.1955999999999998"/>
    <x v="30"/>
    <n v="0.05"/>
    <n v="0.05"/>
    <n v="0.86"/>
    <n v="0.87"/>
    <s v="Fechamento"/>
  </r>
  <r>
    <n v="17758"/>
    <n v="6.1733000000000002"/>
    <n v="6.1745999999999999"/>
    <x v="31"/>
    <n v="-0.02"/>
    <n v="-0.02"/>
    <n v="-0.34"/>
    <n v="-0.34"/>
    <s v="Fechamento"/>
  </r>
  <r>
    <n v="17759"/>
    <n v="6.1456"/>
    <n v="6.1475"/>
    <x v="32"/>
    <n v="-0.03"/>
    <n v="-0.03"/>
    <n v="-0.44"/>
    <n v="-0.45"/>
    <s v="Fechamento"/>
  </r>
  <r>
    <n v="17760"/>
    <n v="6.1292"/>
    <n v="6.1310000000000002"/>
    <x v="33"/>
    <n v="-0.02"/>
    <n v="-0.02"/>
    <n v="-0.27"/>
    <n v="-0.27"/>
    <s v="Fechamento"/>
  </r>
  <r>
    <n v="17761"/>
    <n v="6.0891000000000002"/>
    <n v="6.0903"/>
    <x v="34"/>
    <n v="-0.04"/>
    <n v="-0.04"/>
    <n v="-0.66"/>
    <n v="-0.65"/>
    <s v="Fechamento"/>
  </r>
  <r>
    <n v="17762"/>
    <n v="6.0827999999999998"/>
    <n v="6.0845000000000002"/>
    <x v="35"/>
    <n v="-0.01"/>
    <n v="-0.01"/>
    <n v="-0.1"/>
    <n v="-0.1"/>
    <s v="Fechamento"/>
  </r>
  <r>
    <n v="17763"/>
    <n v="6.0697000000000001"/>
    <n v="6.0709"/>
    <x v="36"/>
    <n v="-0.01"/>
    <n v="-0.01"/>
    <n v="-0.22"/>
    <n v="-0.22"/>
    <s v="Fechamento"/>
  </r>
  <r>
    <n v="17764"/>
    <n v="6.0613000000000001"/>
    <n v="6.0631000000000004"/>
    <x v="37"/>
    <n v="-0.01"/>
    <n v="-0.01"/>
    <n v="-0.13"/>
    <n v="-0.14000000000000001"/>
    <s v="Fechamento"/>
  </r>
  <r>
    <n v="17765"/>
    <n v="6.0762"/>
    <n v="6.0795000000000003"/>
    <x v="38"/>
    <n v="0.02"/>
    <n v="0.01"/>
    <n v="0.27"/>
    <n v="0.25"/>
    <s v="Fechamento"/>
  </r>
  <r>
    <n v="17766"/>
    <n v="6.0724999999999998"/>
    <n v="6.0742000000000003"/>
    <x v="39"/>
    <n v="-0.01"/>
    <n v="0"/>
    <n v="-0.09"/>
    <n v="-0.06"/>
    <s v="Fechamento"/>
  </r>
  <r>
    <n v="17767"/>
    <n v="6.1180000000000003"/>
    <n v="6.1196999999999999"/>
    <x v="40"/>
    <n v="0.05"/>
    <n v="0.05"/>
    <n v="0.75"/>
    <n v="0.75"/>
    <s v="Fechamento"/>
  </r>
  <r>
    <n v="17768"/>
    <n v="6.0621999999999998"/>
    <n v="6.0639000000000003"/>
    <x v="41"/>
    <n v="-0.06"/>
    <n v="-0.06"/>
    <n v="-0.91"/>
    <n v="-0.91"/>
    <s v="Fechamento"/>
  </r>
  <r>
    <n v="17769"/>
    <n v="6.0736999999999997"/>
    <n v="6.0749000000000004"/>
    <x v="42"/>
    <n v="0.01"/>
    <n v="0.01"/>
    <n v="0.18"/>
    <n v="0.19"/>
    <s v="Fechamento"/>
  </r>
  <r>
    <n v="17770"/>
    <n v="6.1219999999999999"/>
    <n v="6.1238000000000001"/>
    <x v="43"/>
    <n v="0.05"/>
    <n v="0.05"/>
    <n v="0.8"/>
    <n v="0.8"/>
    <s v="Fechamento"/>
  </r>
  <r>
    <n v="17771"/>
    <n v="6.0433000000000003"/>
    <n v="6.0445000000000002"/>
    <x v="44"/>
    <n v="-0.08"/>
    <n v="-0.08"/>
    <n v="-1.29"/>
    <n v="-1.29"/>
    <s v="Fechamento"/>
  </r>
  <r>
    <n v="17772"/>
    <n v="6.0111999999999997"/>
    <n v="6.0129000000000001"/>
    <x v="45"/>
    <n v="-0.03"/>
    <n v="-0.03"/>
    <n v="-0.52"/>
    <n v="-0.53"/>
    <s v="Fechamento"/>
  </r>
  <r>
    <n v="17773"/>
    <n v="5.9668999999999999"/>
    <n v="5.9680999999999997"/>
    <x v="46"/>
    <n v="-0.04"/>
    <n v="-0.04"/>
    <n v="-0.75"/>
    <n v="-0.74"/>
    <s v="Fechamento"/>
  </r>
  <r>
    <n v="17774"/>
    <n v="5.9961000000000002"/>
    <n v="5.9977999999999998"/>
    <x v="47"/>
    <n v="0.03"/>
    <n v="0.03"/>
    <n v="0.5"/>
    <n v="0.49"/>
    <s v="Fechamento"/>
  </r>
  <r>
    <n v="17775"/>
    <n v="6.0115999999999996"/>
    <n v="6.0128000000000004"/>
    <x v="48"/>
    <n v="0.02"/>
    <n v="0.02"/>
    <n v="0.25"/>
    <n v="0.26"/>
    <s v="Fechamento"/>
  </r>
  <r>
    <n v="17776"/>
    <n v="6.0457999999999998"/>
    <n v="6.0476000000000001"/>
    <x v="49"/>
    <n v="0.03"/>
    <n v="0.03"/>
    <n v="0.57999999999999996"/>
    <n v="0.56999999999999995"/>
    <s v="Fechamento"/>
  </r>
  <r>
    <n v="17777"/>
    <n v="5.9943"/>
    <n v="5.9961000000000002"/>
    <x v="50"/>
    <n v="-0.05"/>
    <n v="-0.05"/>
    <n v="-0.85"/>
    <n v="-0.85"/>
    <s v="Fechamento"/>
  </r>
  <r>
    <n v="17778"/>
    <n v="5.9984000000000002"/>
    <n v="6.0002000000000004"/>
    <x v="51"/>
    <n v="0"/>
    <n v="0"/>
    <n v="7.0000000000000007E-2"/>
    <n v="7.0000000000000007E-2"/>
    <s v="Fechamento"/>
  </r>
  <r>
    <n v="17779"/>
    <n v="6.0537000000000001"/>
    <n v="6.0553999999999997"/>
    <x v="52"/>
    <n v="0.06"/>
    <n v="0.06"/>
    <n v="0.92"/>
    <n v="0.92"/>
    <s v="Fechamento"/>
  </r>
  <r>
    <n v="17780"/>
    <n v="6.0933999999999999"/>
    <n v="6.0952000000000002"/>
    <x v="53"/>
    <n v="0.04"/>
    <n v="0.04"/>
    <n v="0.66"/>
    <n v="0.66"/>
    <s v="Fechamento"/>
  </r>
  <r>
    <n v="17781"/>
    <n v="6.0734000000000004"/>
    <n v="6.0757000000000003"/>
    <x v="54"/>
    <n v="-0.02"/>
    <n v="-0.02"/>
    <n v="-0.32"/>
    <n v="-0.33"/>
    <s v="Fechamento"/>
  </r>
  <r>
    <n v="17782"/>
    <n v="6.0887000000000002"/>
    <n v="6.0903999999999998"/>
    <x v="55"/>
    <n v="0.01"/>
    <n v="0.02"/>
    <n v="0.24"/>
    <n v="0.25"/>
    <s v="Fechamento"/>
  </r>
  <r>
    <n v="17783"/>
    <n v="6.0469999999999997"/>
    <n v="6.0481999999999996"/>
    <x v="56"/>
    <n v="-0.04"/>
    <n v="-0.04"/>
    <n v="-0.69"/>
    <n v="-0.68"/>
    <s v="Fechamento"/>
  </r>
  <r>
    <n v="17784"/>
    <n v="6.0362"/>
    <n v="6.0373999999999999"/>
    <x v="57"/>
    <n v="-0.01"/>
    <n v="-0.01"/>
    <n v="-0.18"/>
    <n v="-0.18"/>
    <s v="Fechamento"/>
  </r>
  <r>
    <n v="17785"/>
    <n v="6.0324999999999998"/>
    <n v="6.0336999999999996"/>
    <x v="58"/>
    <n v="0"/>
    <n v="0"/>
    <n v="-0.06"/>
    <n v="-0.06"/>
    <s v="Fechamento"/>
  </r>
  <r>
    <n v="17786"/>
    <n v="5.9958"/>
    <n v="5.9969999999999999"/>
    <x v="59"/>
    <n v="-0.04"/>
    <n v="-0.04"/>
    <n v="-0.61"/>
    <n v="-0.61"/>
    <s v="Fechamento"/>
  </r>
  <r>
    <n v="17787"/>
    <n v="6.01"/>
    <n v="6.0117000000000003"/>
    <x v="60"/>
    <n v="0.01"/>
    <n v="0.01"/>
    <n v="0.25"/>
    <n v="0.24"/>
    <s v="Fechamento"/>
  </r>
  <r>
    <n v="17788"/>
    <n v="5.9923000000000002"/>
    <n v="5.9935"/>
    <x v="61"/>
    <n v="-0.02"/>
    <n v="-0.02"/>
    <n v="-0.3"/>
    <n v="-0.28999999999999998"/>
    <s v="Fechamento"/>
  </r>
  <r>
    <n v="17789"/>
    <n v="5.9629000000000003"/>
    <n v="5.9641000000000002"/>
    <x v="62"/>
    <n v="-0.03"/>
    <n v="-0.03"/>
    <n v="-0.49"/>
    <n v="-0.49"/>
    <s v="Fechamento"/>
  </r>
  <r>
    <n v="17790"/>
    <n v="5.9476000000000004"/>
    <n v="5.9499000000000004"/>
    <x v="63"/>
    <n v="-0.01"/>
    <n v="-0.02"/>
    <n v="-0.24"/>
    <n v="-0.26"/>
    <s v="Fechamento"/>
  </r>
  <r>
    <n v="17791"/>
    <n v="5.9728000000000003"/>
    <n v="5.9740000000000002"/>
    <x v="64"/>
    <n v="0.02"/>
    <n v="0.03"/>
    <n v="0.41"/>
    <n v="0.42"/>
    <s v="Fechamento"/>
  </r>
  <r>
    <n v="17792"/>
    <n v="5.9467999999999996"/>
    <n v="5.9485999999999999"/>
    <x v="65"/>
    <n v="-0.03"/>
    <n v="-0.03"/>
    <n v="-0.43"/>
    <n v="-0.44"/>
    <s v="Fechamento"/>
  </r>
  <r>
    <n v="17793"/>
    <n v="5.9478999999999997"/>
    <n v="5.9490999999999996"/>
    <x v="66"/>
    <n v="0"/>
    <n v="0"/>
    <n v="0.01"/>
    <n v="0.02"/>
    <s v="Fechamento"/>
  </r>
  <r>
    <n v="17794"/>
    <n v="5.8865999999999996"/>
    <n v="5.8883000000000001"/>
    <x v="67"/>
    <n v="-0.06"/>
    <n v="-0.06"/>
    <n v="-1.02"/>
    <n v="-1.03"/>
    <s v="Fechamento"/>
  </r>
  <r>
    <n v="17795"/>
    <n v="5.8823999999999996"/>
    <n v="5.8841000000000001"/>
    <x v="68"/>
    <n v="0"/>
    <n v="0"/>
    <n v="-7.0000000000000007E-2"/>
    <n v="-7.0000000000000007E-2"/>
    <s v="Fechamento"/>
  </r>
  <r>
    <n v="17796"/>
    <n v="5.8708999999999998"/>
    <n v="5.8726000000000003"/>
    <x v="69"/>
    <n v="-0.01"/>
    <n v="-0.01"/>
    <n v="-0.2"/>
    <n v="-0.2"/>
    <s v="Fechamento"/>
  </r>
  <r>
    <n v="17797"/>
    <n v="5.8898000000000001"/>
    <n v="5.891"/>
    <x v="70"/>
    <n v="0.02"/>
    <n v="0.02"/>
    <n v="0.31"/>
    <n v="0.32"/>
    <s v="Fechamento"/>
  </r>
  <r>
    <n v="17798"/>
    <n v="5.8906000000000001"/>
    <n v="5.8922999999999996"/>
    <x v="71"/>
    <n v="0"/>
    <n v="0"/>
    <n v="0.02"/>
    <n v="0.01"/>
    <s v="Fechamento"/>
  </r>
  <r>
    <n v="17799"/>
    <n v="5.8632999999999997"/>
    <n v="5.8644999999999996"/>
    <x v="72"/>
    <n v="-0.03"/>
    <n v="-0.03"/>
    <n v="-0.47"/>
    <n v="-0.46"/>
    <s v="Fechamento"/>
  </r>
  <r>
    <n v="17800"/>
    <n v="5.8728999999999996"/>
    <n v="5.8741000000000003"/>
    <x v="73"/>
    <n v="0.01"/>
    <n v="0.01"/>
    <n v="0.16"/>
    <n v="0.16"/>
    <s v="Fechamento"/>
  </r>
  <r>
    <n v="17801"/>
    <n v="5.8151999999999999"/>
    <n v="5.8163999999999998"/>
    <x v="74"/>
    <n v="-0.06"/>
    <n v="-0.06"/>
    <n v="-0.98"/>
    <n v="-0.98"/>
    <s v="Fechamento"/>
  </r>
  <r>
    <n v="17802"/>
    <n v="5.7968000000000002"/>
    <n v="5.7984999999999998"/>
    <x v="75"/>
    <n v="-0.02"/>
    <n v="-0.02"/>
    <n v="-0.31"/>
    <n v="-0.32"/>
    <s v="Fechamento"/>
  </r>
  <r>
    <n v="17803"/>
    <n v="5.8674999999999997"/>
    <n v="5.8692000000000002"/>
    <x v="76"/>
    <n v="7.0000000000000007E-2"/>
    <n v="7.0000000000000007E-2"/>
    <n v="1.22"/>
    <n v="1.22"/>
    <s v="Fechamento"/>
  </r>
  <r>
    <n v="17804"/>
    <n v="5.8291000000000004"/>
    <n v="5.8303000000000003"/>
    <x v="77"/>
    <n v="-0.04"/>
    <n v="-0.04"/>
    <n v="-0.66"/>
    <n v="-0.65"/>
    <s v="Fechamento"/>
  </r>
  <r>
    <n v="17805"/>
    <n v="5.8419999999999996"/>
    <n v="5.8432000000000004"/>
    <x v="78"/>
    <n v="0.01"/>
    <n v="0.01"/>
    <n v="0.22"/>
    <n v="0.22"/>
    <s v="Fechamento"/>
  </r>
  <r>
    <n v="17806"/>
    <n v="5.8445"/>
    <n v="5.8456999999999999"/>
    <x v="79"/>
    <n v="0"/>
    <n v="0"/>
    <n v="0.04"/>
    <n v="0.04"/>
    <s v="Fechamento"/>
  </r>
  <r>
    <n v="17807"/>
    <n v="5.8498999999999999"/>
    <n v="5.8510999999999997"/>
    <x v="80"/>
    <n v="0.01"/>
    <n v="0.01"/>
    <n v="0.09"/>
    <n v="0.09"/>
    <s v="Fechamento"/>
  </r>
  <r>
    <n v="17808"/>
    <n v="5.7995000000000001"/>
    <n v="5.8007"/>
    <x v="81"/>
    <n v="-0.05"/>
    <n v="-0.05"/>
    <n v="-0.86"/>
    <n v="-0.86"/>
    <s v="Fechamento"/>
  </r>
  <r>
    <n v="17809"/>
    <n v="5.7636000000000003"/>
    <n v="5.7648000000000001"/>
    <x v="82"/>
    <n v="-0.04"/>
    <n v="-0.04"/>
    <n v="-0.62"/>
    <n v="-0.62"/>
    <s v="Fechamento"/>
  </r>
  <r>
    <n v="17810"/>
    <n v="5.79"/>
    <n v="5.7911999999999999"/>
    <x v="83"/>
    <n v="0.03"/>
    <n v="0.03"/>
    <n v="0.46"/>
    <n v="0.46"/>
    <s v="Fechamento"/>
  </r>
  <r>
    <n v="17811"/>
    <n v="5.7831999999999999"/>
    <n v="5.7843999999999998"/>
    <x v="84"/>
    <n v="-0.01"/>
    <n v="-0.01"/>
    <n v="-0.12"/>
    <n v="-0.12"/>
    <s v="Fechamento"/>
  </r>
  <r>
    <n v="17812"/>
    <n v="5.7675000000000001"/>
    <n v="5.7690999999999999"/>
    <x v="85"/>
    <n v="-0.02"/>
    <n v="-0.02"/>
    <n v="-0.26"/>
    <n v="-0.27"/>
    <s v="Fechamento"/>
  </r>
  <r>
    <n v="17813"/>
    <n v="5.7678000000000003"/>
    <n v="5.7694999999999999"/>
    <x v="86"/>
    <n v="0"/>
    <n v="0"/>
    <n v="0.01"/>
    <n v="0.01"/>
    <s v="Fechamento"/>
  </r>
  <r>
    <n v="17814"/>
    <n v="5.7453000000000003"/>
    <n v="5.7465000000000002"/>
    <x v="87"/>
    <n v="-0.02"/>
    <n v="-0.02"/>
    <n v="-0.4"/>
    <n v="-0.39"/>
    <s v="Fechamento"/>
  </r>
  <r>
    <n v="17815"/>
    <n v="5.7510000000000003"/>
    <n v="5.7522000000000002"/>
    <x v="88"/>
    <n v="0.01"/>
    <n v="0.01"/>
    <n v="0.1"/>
    <n v="0.1"/>
    <s v="Fechamento"/>
  </r>
  <r>
    <n v="17816"/>
    <n v="5.8155000000000001"/>
    <n v="5.8167"/>
    <x v="89"/>
    <n v="0.06"/>
    <n v="0.06"/>
    <n v="1.1200000000000001"/>
    <n v="1.1200000000000001"/>
    <s v="Fechamento"/>
  </r>
  <r>
    <n v="17817"/>
    <n v="5.8883000000000001"/>
    <n v="5.89"/>
    <x v="90"/>
    <n v="7.0000000000000007E-2"/>
    <n v="7.0000000000000007E-2"/>
    <n v="1.26"/>
    <n v="1.2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n v="21791"/>
    <n v="5.4366000000000003"/>
    <n v="5.4371999999999998"/>
    <d v="2026-01-02T13:03:33"/>
    <x v="0"/>
    <n v="0"/>
    <n v="0"/>
    <n v="0"/>
    <n v="0"/>
    <s v="Fechamento"/>
  </r>
  <r>
    <n v="21792"/>
    <n v="5.4344999999999999"/>
    <n v="5.4351000000000003"/>
    <d v="2026-01-05T13:10:15"/>
    <x v="0"/>
    <n v="0"/>
    <n v="0"/>
    <n v="-0.04"/>
    <n v="-0.04"/>
    <s v="Fechamento"/>
  </r>
  <r>
    <n v="21793"/>
    <n v="5.3791000000000002"/>
    <n v="5.3796999999999997"/>
    <d v="2026-01-06T13:12:07"/>
    <x v="0"/>
    <n v="-0.06"/>
    <n v="-0.06"/>
    <n v="-1.02"/>
    <n v="-1.02"/>
    <s v="Fechamento"/>
  </r>
  <r>
    <n v="21794"/>
    <n v="5.3874000000000004"/>
    <n v="5.3879999999999999"/>
    <d v="2026-01-07T13:06:27"/>
    <x v="0"/>
    <n v="0.01"/>
    <n v="0.01"/>
    <n v="0.15"/>
    <n v="0.15"/>
    <s v="Fechamento"/>
  </r>
  <r>
    <n v="21795"/>
    <n v="5.3853999999999997"/>
    <n v="5.3860000000000001"/>
    <d v="2026-01-08T13:04:29"/>
    <x v="0"/>
    <n v="0"/>
    <n v="0"/>
    <n v="-0.04"/>
    <n v="-0.04"/>
    <s v="Fechamento"/>
  </r>
  <r>
    <n v="21796"/>
    <n v="5.3700999999999999"/>
    <n v="5.3707000000000003"/>
    <d v="2026-01-09T13:09:29"/>
    <x v="0"/>
    <n v="-0.02"/>
    <n v="-0.02"/>
    <n v="-0.28000000000000003"/>
    <n v="-0.28000000000000003"/>
    <s v="Fechamento"/>
  </r>
  <r>
    <n v="21797"/>
    <n v="5.3754"/>
    <n v="5.3760000000000003"/>
    <d v="2026-01-12T13:08:29"/>
    <x v="0"/>
    <n v="0.01"/>
    <n v="0.01"/>
    <n v="0.1"/>
    <n v="0.1"/>
    <s v="Fechamento"/>
  </r>
  <r>
    <n v="21798"/>
    <n v="5.3757999999999999"/>
    <n v="5.3764000000000003"/>
    <d v="2026-01-13T13:08:54"/>
    <x v="0"/>
    <n v="0"/>
    <n v="0"/>
    <n v="0.01"/>
    <n v="0.01"/>
    <s v="Fechamento"/>
  </r>
  <r>
    <n v="21799"/>
    <n v="5.3788999999999998"/>
    <n v="5.3795000000000002"/>
    <d v="2026-01-14T13:04:32"/>
    <x v="0"/>
    <n v="0"/>
    <n v="0"/>
    <n v="0.06"/>
    <n v="0.06"/>
    <s v="Fechamento"/>
  </r>
  <r>
    <n v="21800"/>
    <n v="5.3840000000000003"/>
    <n v="5.3845999999999998"/>
    <d v="2026-01-15T13:05:26"/>
    <x v="0"/>
    <n v="0.01"/>
    <n v="0.01"/>
    <n v="0.09"/>
    <n v="0.09"/>
    <s v="Fechamento"/>
  </r>
  <r>
    <n v="21801"/>
    <n v="5.3792"/>
    <n v="5.3798000000000004"/>
    <d v="2026-01-16T13:04:26"/>
    <x v="0"/>
    <n v="0"/>
    <n v="0"/>
    <n v="-0.09"/>
    <n v="-0.09"/>
    <s v="Fechamento"/>
  </r>
  <r>
    <n v="21802"/>
    <n v="5.3647"/>
    <n v="5.3653000000000004"/>
    <d v="2026-01-19T13:07:28"/>
    <x v="0"/>
    <n v="-0.01"/>
    <n v="-0.01"/>
    <n v="-0.27"/>
    <n v="-0.27"/>
    <s v="Fechamento"/>
  </r>
  <r>
    <n v="21803"/>
    <n v="5.3784000000000001"/>
    <n v="5.3789999999999996"/>
    <d v="2026-01-20T13:02:31"/>
    <x v="0"/>
    <n v="0.01"/>
    <n v="0.01"/>
    <n v="0.26"/>
    <n v="0.26"/>
    <s v="Fechamento"/>
  </r>
  <r>
    <n v="21804"/>
    <n v="5.3361999999999998"/>
    <n v="5.3368000000000002"/>
    <d v="2026-01-21T13:04:33"/>
    <x v="0"/>
    <n v="-0.04"/>
    <n v="-0.04"/>
    <n v="-0.78"/>
    <n v="-0.78"/>
    <s v="Fechamento"/>
  </r>
  <r>
    <n v="21805"/>
    <n v="5.3112000000000004"/>
    <n v="5.3117999999999999"/>
    <d v="2026-01-22T13:07:26"/>
    <x v="0"/>
    <n v="-0.03"/>
    <n v="-0.02"/>
    <n v="-0.47"/>
    <n v="-0.47"/>
    <s v="Fechamento"/>
  </r>
  <r>
    <n v="21806"/>
    <n v="5.2872000000000003"/>
    <n v="5.2878999999999996"/>
    <d v="2026-01-23T13:09:26"/>
    <x v="0"/>
    <n v="-0.02"/>
    <n v="-0.02"/>
    <n v="-0.45"/>
    <n v="-0.45"/>
    <s v="Fechamento"/>
  </r>
  <r>
    <n v="21807"/>
    <n v="5.2754000000000003"/>
    <n v="5.2759999999999998"/>
    <d v="2026-01-26T13:09:03"/>
    <x v="0"/>
    <n v="-0.01"/>
    <n v="-0.01"/>
    <n v="-0.23"/>
    <n v="-0.22"/>
    <s v="Fechamento"/>
  </r>
  <r>
    <n v="21808"/>
    <n v="5.2385999999999999"/>
    <n v="5.2392000000000003"/>
    <d v="2026-01-27T13:08:26"/>
    <x v="0"/>
    <n v="-0.04"/>
    <n v="-0.04"/>
    <n v="-0.7"/>
    <n v="-0.7"/>
    <s v="Fechamento"/>
  </r>
  <r>
    <n v="21809"/>
    <n v="5.1832000000000003"/>
    <n v="5.1837999999999997"/>
    <d v="2026-01-28T13:10:27"/>
    <x v="0"/>
    <n v="-0.06"/>
    <n v="-0.06"/>
    <n v="-1.06"/>
    <n v="-1.06"/>
    <s v="Fechamento"/>
  </r>
  <r>
    <n v="21810"/>
    <n v="5.1950000000000003"/>
    <n v="5.1955999999999998"/>
    <d v="2026-01-29T13:08:23"/>
    <x v="0"/>
    <n v="0.01"/>
    <n v="0.01"/>
    <n v="0.23"/>
    <n v="0.23"/>
    <s v="Fechamento"/>
  </r>
  <r>
    <n v="21811"/>
    <n v="5.2294999999999998"/>
    <n v="5.2301000000000002"/>
    <d v="2026-01-30T13:05:29"/>
    <x v="0"/>
    <n v="0.03"/>
    <n v="0.03"/>
    <n v="0.66"/>
    <n v="0.66"/>
    <s v="Fechamento"/>
  </r>
  <r>
    <n v="21812"/>
    <n v="5.2580999999999998"/>
    <n v="5.2587000000000002"/>
    <d v="2026-02-02T13:07:28"/>
    <x v="1"/>
    <n v="0.03"/>
    <n v="0.03"/>
    <n v="0.55000000000000004"/>
    <n v="0.55000000000000004"/>
    <s v="Fechamento"/>
  </r>
  <r>
    <n v="21813"/>
    <n v="5.2229999999999999"/>
    <n v="5.2236000000000002"/>
    <d v="2026-02-03T13:11:27"/>
    <x v="1"/>
    <n v="-0.04"/>
    <n v="-0.04"/>
    <n v="-0.67"/>
    <n v="-0.67"/>
    <s v="Fechamento"/>
  </r>
  <r>
    <n v="21814"/>
    <n v="5.2352999999999996"/>
    <n v="5.2359"/>
    <d v="2026-02-04T13:10:29"/>
    <x v="1"/>
    <n v="0.01"/>
    <n v="0.01"/>
    <n v="0.24"/>
    <n v="0.24"/>
    <s v="Fechamento"/>
  </r>
  <r>
    <n v="21815"/>
    <n v="5.2573999999999996"/>
    <n v="5.258"/>
    <d v="2026-02-05T13:05:29"/>
    <x v="1"/>
    <n v="0.02"/>
    <n v="0.02"/>
    <n v="0.42"/>
    <n v="0.42"/>
    <s v="Fechamento"/>
  </r>
  <r>
    <n v="21816"/>
    <n v="5.2335000000000003"/>
    <n v="5.2340999999999998"/>
    <d v="2026-02-06T13:10:27"/>
    <x v="1"/>
    <n v="-0.02"/>
    <n v="-0.02"/>
    <n v="-0.45"/>
    <n v="-0.45"/>
    <s v="Fechamento"/>
  </r>
  <r>
    <n v="21817"/>
    <n v="5.1936999999999998"/>
    <n v="5.1943000000000001"/>
    <d v="2026-02-09T13:09:27"/>
    <x v="1"/>
    <n v="-0.04"/>
    <n v="-0.04"/>
    <n v="-0.76"/>
    <n v="-0.76"/>
    <s v="Fechamento"/>
  </r>
  <r>
    <n v="21818"/>
    <n v="5.2015000000000002"/>
    <n v="5.2020999999999997"/>
    <d v="2026-02-10T13:10:27"/>
    <x v="1"/>
    <n v="0.01"/>
    <n v="0.01"/>
    <n v="0.15"/>
    <n v="0.15"/>
    <s v="Fechamento"/>
  </r>
  <r>
    <n v="21819"/>
    <n v="5.1829999999999998"/>
    <n v="5.1836000000000002"/>
    <d v="2026-02-11T13:03:28"/>
    <x v="1"/>
    <n v="-0.02"/>
    <n v="-0.02"/>
    <n v="-0.36"/>
    <n v="-0.36"/>
    <s v="Fechamento"/>
  </r>
  <r>
    <n v="21820"/>
    <n v="5.1668000000000003"/>
    <n v="5.1673999999999998"/>
    <d v="2026-02-12T13:04:38"/>
    <x v="1"/>
    <n v="-0.02"/>
    <n v="-0.02"/>
    <n v="-0.31"/>
    <n v="-0.31"/>
    <s v="Fechamento"/>
  </r>
  <r>
    <n v="21821"/>
    <n v="5.2282000000000002"/>
    <n v="5.2287999999999997"/>
    <d v="2026-02-13T13:04:28"/>
    <x v="1"/>
    <n v="0.06"/>
    <n v="0.06"/>
    <n v="1.19"/>
    <n v="1.19"/>
    <s v="Fechamento"/>
  </r>
  <r>
    <n v="21822"/>
    <n v="5.2343000000000002"/>
    <n v="5.2348999999999997"/>
    <d v="2026-02-18T15:40:29"/>
    <x v="1"/>
    <n v="0.01"/>
    <n v="0.01"/>
    <n v="0.12"/>
    <n v="0.12"/>
    <s v="Fechamento"/>
  </r>
  <r>
    <n v="21823"/>
    <n v="5.2249999999999996"/>
    <n v="5.2256999999999998"/>
    <d v="2026-02-19T13:11:27"/>
    <x v="1"/>
    <n v="-0.01"/>
    <n v="-0.01"/>
    <n v="-0.18"/>
    <n v="-0.18"/>
    <s v="Fechamento"/>
  </r>
  <r>
    <n v="21824"/>
    <n v="5.2"/>
    <n v="5.2005999999999997"/>
    <d v="2026-02-20T13:02:26"/>
    <x v="1"/>
    <n v="-0.03"/>
    <n v="-0.02"/>
    <n v="-0.48"/>
    <n v="-0.48"/>
    <s v="Fechamento"/>
  </r>
  <r>
    <n v="21825"/>
    <n v="5.1628999999999996"/>
    <n v="5.1635"/>
    <d v="2026-02-23T13:02:28"/>
    <x v="1"/>
    <n v="-0.04"/>
    <n v="-0.04"/>
    <n v="-0.71"/>
    <n v="-0.71"/>
    <s v="Fechamento"/>
  </r>
  <r>
    <n v="21826"/>
    <n v="5.1676000000000002"/>
    <n v="5.1681999999999997"/>
    <d v="2026-02-24T13:04:29"/>
    <x v="1"/>
    <n v="0"/>
    <n v="0"/>
    <n v="0.09"/>
    <n v="0.09"/>
    <s v="Fechamento"/>
  </r>
  <r>
    <n v="21827"/>
    <n v="5.1433999999999997"/>
    <n v="5.1440000000000001"/>
    <d v="2026-02-25T13:05:28"/>
    <x v="1"/>
    <n v="-0.02"/>
    <n v="-0.02"/>
    <n v="-0.47"/>
    <n v="-0.47"/>
    <s v="Fechamento"/>
  </r>
  <r>
    <n v="21828"/>
    <n v="5.1375999999999999"/>
    <n v="5.1382000000000003"/>
    <d v="2026-02-26T13:06:33"/>
    <x v="1"/>
    <n v="-0.01"/>
    <n v="-0.01"/>
    <n v="-0.11"/>
    <n v="-0.11"/>
    <s v="Fechamento"/>
  </r>
  <r>
    <n v="21829"/>
    <n v="5.1489000000000003"/>
    <n v="5.1494999999999997"/>
    <d v="2026-02-27T13:02:27"/>
    <x v="1"/>
    <n v="0.01"/>
    <n v="0.01"/>
    <n v="0.22"/>
    <n v="0.22"/>
    <s v="Fechamento"/>
  </r>
  <r>
    <n v="21830"/>
    <n v="5.1994999999999996"/>
    <n v="5.2000999999999999"/>
    <d v="2026-03-02T13:09:26"/>
    <x v="2"/>
    <n v="0.05"/>
    <n v="0.05"/>
    <n v="0.98"/>
    <n v="0.98"/>
    <s v="Fechamento"/>
  </r>
  <r>
    <n v="21831"/>
    <n v="5.2864000000000004"/>
    <n v="5.2869999999999999"/>
    <d v="2026-03-03T13:10:28"/>
    <x v="2"/>
    <n v="0.09"/>
    <n v="0.09"/>
    <n v="1.67"/>
    <n v="1.67"/>
    <s v="Fechamento"/>
  </r>
  <r>
    <n v="21832"/>
    <n v="5.2084999999999999"/>
    <n v="5.2091000000000003"/>
    <d v="2026-03-04T13:07:27"/>
    <x v="2"/>
    <n v="-0.08"/>
    <n v="-0.08"/>
    <n v="-1.47"/>
    <n v="-1.47"/>
    <s v="Fechamento"/>
  </r>
  <r>
    <n v="21833"/>
    <n v="5.2441000000000004"/>
    <n v="5.2446999999999999"/>
    <d v="2026-03-05T13:03:30"/>
    <x v="2"/>
    <n v="0.04"/>
    <n v="0.04"/>
    <n v="0.68"/>
    <n v="0.68"/>
    <s v="Fechamento"/>
  </r>
  <r>
    <n v="21834"/>
    <n v="5.2872000000000003"/>
    <n v="5.2877999999999998"/>
    <d v="2026-03-06T13:10:28"/>
    <x v="2"/>
    <n v="0.04"/>
    <n v="0.04"/>
    <n v="0.82"/>
    <n v="0.82"/>
    <s v="Fechamento"/>
  </r>
  <r>
    <n v="21835"/>
    <n v="5.2133000000000003"/>
    <n v="5.2138999999999998"/>
    <d v="2026-03-09T13:10:28"/>
    <x v="2"/>
    <n v="-7.0000000000000007E-2"/>
    <n v="-7.0000000000000007E-2"/>
    <n v="-1.4"/>
    <n v="-1.4"/>
    <s v="Fechamento"/>
  </r>
  <r>
    <n v="21836"/>
    <n v="5.1616"/>
    <n v="5.1622000000000003"/>
    <d v="2026-03-10T13:09:26"/>
    <x v="2"/>
    <n v="-0.05"/>
    <n v="-0.05"/>
    <n v="-0.99"/>
    <n v="-0.99"/>
    <s v="Fechamento"/>
  </r>
  <r>
    <n v="21837"/>
    <n v="5.1589999999999998"/>
    <n v="5.1596000000000002"/>
    <d v="2026-03-11T13:04:26"/>
    <x v="2"/>
    <n v="0"/>
    <n v="0"/>
    <n v="-0.05"/>
    <n v="-0.05"/>
    <s v="Fechamento"/>
  </r>
  <r>
    <n v="21838"/>
    <n v="5.2045000000000003"/>
    <n v="5.2050999999999998"/>
    <d v="2026-03-12T13:10:29"/>
    <x v="2"/>
    <n v="0.05"/>
    <n v="0.05"/>
    <n v="0.88"/>
    <n v="0.88"/>
    <s v="Fechamento"/>
  </r>
  <r>
    <n v="21839"/>
    <n v="5.2534999999999998"/>
    <n v="5.2541000000000002"/>
    <d v="2026-03-13T13:03:29"/>
    <x v="2"/>
    <n v="0.05"/>
    <n v="0.05"/>
    <n v="0.94"/>
    <n v="0.94"/>
    <s v="Fechamento"/>
  </r>
  <r>
    <n v="21840"/>
    <n v="5.2641"/>
    <n v="5.2647000000000004"/>
    <d v="2026-03-16T13:08:25"/>
    <x v="2"/>
    <n v="0.01"/>
    <n v="0.01"/>
    <n v="0.2"/>
    <n v="0.2"/>
    <s v="Fechamento"/>
  </r>
  <r>
    <n v="21841"/>
    <n v="5.2016"/>
    <n v="5.2022000000000004"/>
    <d v="2026-03-17T13:09:33"/>
    <x v="2"/>
    <n v="-0.06"/>
    <n v="-0.06"/>
    <n v="-1.19"/>
    <n v="-1.19"/>
    <s v="Fechamento"/>
  </r>
  <r>
    <n v="21842"/>
    <n v="5.2106000000000003"/>
    <n v="5.2111999999999998"/>
    <d v="2026-03-18T13:08:33"/>
    <x v="2"/>
    <n v="0.01"/>
    <n v="0.01"/>
    <n v="0.17"/>
    <n v="0.17"/>
    <s v="Fechamento"/>
  </r>
  <r>
    <n v="21843"/>
    <n v="5.2580999999999998"/>
    <n v="5.2587000000000002"/>
    <d v="2026-03-19T13:02:27"/>
    <x v="2"/>
    <n v="0.05"/>
    <n v="0.05"/>
    <n v="0.91"/>
    <n v="0.91"/>
    <s v="Fechamento"/>
  </r>
  <r>
    <n v="21844"/>
    <n v="5.2793000000000001"/>
    <n v="5.28"/>
    <d v="2026-03-20T13:11:28"/>
    <x v="2"/>
    <n v="0.02"/>
    <n v="0.02"/>
    <n v="0.41"/>
    <n v="0.4"/>
    <s v="Fechamento"/>
  </r>
  <r>
    <n v="21845"/>
    <n v="5.2434000000000003"/>
    <n v="5.2439999999999998"/>
    <d v="2026-03-23T13:11:28"/>
    <x v="2"/>
    <n v="-0.04"/>
    <n v="-0.04"/>
    <n v="-0.68"/>
    <n v="-0.68"/>
    <s v="Fechamento"/>
  </r>
  <r>
    <n v="21846"/>
    <n v="5.2592999999999996"/>
    <n v="5.2599"/>
    <d v="2026-03-24T13:09:29"/>
    <x v="2"/>
    <n v="0.02"/>
    <n v="0.02"/>
    <n v="0.3"/>
    <n v="0.3"/>
    <s v="Fechamento"/>
  </r>
  <r>
    <n v="21847"/>
    <n v="5.2268999999999997"/>
    <n v="5.2275"/>
    <d v="2026-03-25T13:08:34"/>
    <x v="2"/>
    <n v="-0.03"/>
    <n v="-0.03"/>
    <n v="-0.62"/>
    <n v="-0.62"/>
    <s v="Fechamento"/>
  </r>
  <r>
    <n v="21848"/>
    <n v="5.2302"/>
    <n v="5.2308000000000003"/>
    <d v="2026-03-26T13:11:09"/>
    <x v="2"/>
    <n v="0"/>
    <n v="0"/>
    <n v="0.06"/>
    <n v="0.06"/>
    <s v="Fechamento"/>
  </r>
  <r>
    <n v="21849"/>
    <n v="5.2370000000000001"/>
    <n v="5.2375999999999996"/>
    <d v="2026-03-27T13:11:42"/>
    <x v="2"/>
    <n v="0.01"/>
    <n v="0.01"/>
    <n v="0.13"/>
    <n v="0.13"/>
    <s v="Fechamento"/>
  </r>
  <r>
    <n v="21850"/>
    <n v="5.2347000000000001"/>
    <n v="5.2352999999999996"/>
    <d v="2026-03-30T13:10:28"/>
    <x v="2"/>
    <n v="0"/>
    <n v="0"/>
    <n v="-0.04"/>
    <n v="-0.04"/>
    <s v="Fechamento"/>
  </r>
  <r>
    <n v="21851"/>
    <n v="5.2187999999999999"/>
    <n v="5.2194000000000003"/>
    <d v="2026-03-31T13:04:23"/>
    <x v="2"/>
    <n v="-0.02"/>
    <n v="-0.02"/>
    <n v="-0.3"/>
    <n v="-0.3"/>
    <s v="Fechamento"/>
  </r>
  <r>
    <n v="21852"/>
    <n v="5.16"/>
    <n v="5.1605999999999996"/>
    <d v="2026-04-01T13:06:28"/>
    <x v="3"/>
    <n v="-0.06"/>
    <n v="-0.06"/>
    <n v="-1.1299999999999999"/>
    <n v="-1.1299999999999999"/>
    <s v="Fechamento"/>
  </r>
  <r>
    <n v="21853"/>
    <n v="5.1649000000000003"/>
    <n v="5.1654999999999998"/>
    <d v="2026-04-02T13:10:27"/>
    <x v="3"/>
    <n v="0"/>
    <n v="0"/>
    <n v="0.09"/>
    <n v="0.09"/>
    <s v="Fechamento"/>
  </r>
  <r>
    <n v="21854"/>
    <n v="5.1525999999999996"/>
    <n v="5.1532"/>
    <d v="2026-04-06T13:06:25"/>
    <x v="3"/>
    <n v="-0.01"/>
    <n v="-0.01"/>
    <n v="-0.24"/>
    <n v="-0.24"/>
    <s v="Fechamento"/>
  </r>
  <r>
    <n v="21855"/>
    <n v="5.1619000000000002"/>
    <n v="5.1624999999999996"/>
    <d v="2026-04-07T13:08:26"/>
    <x v="3"/>
    <n v="0.01"/>
    <n v="0.01"/>
    <n v="0.18"/>
    <n v="0.18"/>
    <s v="Fechamento"/>
  </r>
  <r>
    <n v="21856"/>
    <n v="5.0892999999999997"/>
    <n v="5.0899000000000001"/>
    <d v="2026-04-08T13:02:29"/>
    <x v="3"/>
    <n v="-7.0000000000000007E-2"/>
    <n v="-7.0000000000000007E-2"/>
    <n v="-1.41"/>
    <n v="-1.41"/>
    <s v="Fechamento"/>
  </r>
  <r>
    <n v="21857"/>
    <n v="5.0815000000000001"/>
    <n v="5.0820999999999996"/>
    <d v="2026-04-09T13:10:30"/>
    <x v="3"/>
    <n v="-0.01"/>
    <n v="-0.01"/>
    <n v="-0.15"/>
    <n v="-0.15"/>
    <s v="Fechamento"/>
  </r>
  <r>
    <n v="21858"/>
    <n v="5.0223000000000004"/>
    <n v="5.0228999999999999"/>
    <d v="2026-04-10T13:04:25"/>
    <x v="3"/>
    <n v="-0.06"/>
    <n v="-0.06"/>
    <n v="-1.1599999999999999"/>
    <n v="-1.17"/>
    <s v="Fechamento"/>
  </r>
  <r>
    <n v="21859"/>
    <n v="5.0237999999999996"/>
    <n v="5.0244"/>
    <d v="2026-04-13T13:04:54"/>
    <x v="3"/>
    <n v="0"/>
    <n v="0"/>
    <n v="0.03"/>
    <n v="0.03"/>
    <s v="Fechamento"/>
  </r>
  <r>
    <n v="21860"/>
    <n v="4.9800000000000004"/>
    <n v="4.9805999999999999"/>
    <d v="2026-04-14T13:03:27"/>
    <x v="3"/>
    <n v="-0.04"/>
    <n v="-0.04"/>
    <n v="-0.87"/>
    <n v="-0.87"/>
    <s v="Fechamento"/>
  </r>
  <r>
    <n v="21861"/>
    <n v="4.9922000000000004"/>
    <n v="4.9927999999999999"/>
    <d v="2026-04-15T13:06:26"/>
    <x v="3"/>
    <n v="0.01"/>
    <n v="0.01"/>
    <n v="0.24"/>
    <n v="0.24"/>
    <s v="Fechamento"/>
  </r>
  <r>
    <n v="21862"/>
    <n v="5.0000999999999998"/>
    <n v="5.0007000000000001"/>
    <d v="2026-04-16T13:03:29"/>
    <x v="3"/>
    <n v="0.01"/>
    <n v="0.01"/>
    <n v="0.16"/>
    <n v="0.16"/>
    <s v="Fechamento"/>
  </r>
  <r>
    <n v="21863"/>
    <n v="4.9688999999999997"/>
    <n v="4.9695"/>
    <d v="2026-04-17T13:09:27"/>
    <x v="3"/>
    <n v="-0.03"/>
    <n v="-0.03"/>
    <n v="-0.62"/>
    <n v="-0.62"/>
    <s v="Fechamento"/>
  </r>
  <r>
    <n v="21864"/>
    <n v="4.9837999999999996"/>
    <n v="4.9843999999999999"/>
    <d v="2026-04-20T13:02:26"/>
    <x v="3"/>
    <n v="0.01"/>
    <n v="0.01"/>
    <n v="0.3"/>
    <n v="0.3"/>
    <s v="Fechamento"/>
  </r>
  <r>
    <n v="21865"/>
    <n v="4.9646999999999997"/>
    <n v="4.9653"/>
    <d v="2026-04-22T13:11:28"/>
    <x v="3"/>
    <n v="-0.02"/>
    <n v="-0.02"/>
    <n v="-0.38"/>
    <n v="-0.38"/>
    <s v="Fechamento"/>
  </r>
  <r>
    <n v="21866"/>
    <n v="4.9532999999999996"/>
    <n v="4.9539"/>
    <d v="2026-04-23T13:03:26"/>
    <x v="3"/>
    <n v="-0.01"/>
    <n v="-0.01"/>
    <n v="-0.23"/>
    <n v="-0.23"/>
    <s v="Fechamento"/>
  </r>
  <r>
    <n v="21867"/>
    <n v="5.0076999999999998"/>
    <n v="5.0083000000000002"/>
    <d v="2026-04-24T13:06:16"/>
    <x v="3"/>
    <n v="0.05"/>
    <n v="0.05"/>
    <n v="1.1000000000000001"/>
    <n v="1.1000000000000001"/>
    <s v="Fechamento"/>
  </r>
  <r>
    <n v="21868"/>
    <n v="4.9694000000000003"/>
    <n v="4.97"/>
    <d v="2026-04-27T13:06:14"/>
    <x v="3"/>
    <n v="-0.04"/>
    <n v="-0.04"/>
    <n v="-0.76"/>
    <n v="-0.76"/>
    <s v="Fechamento"/>
  </r>
  <r>
    <n v="21869"/>
    <n v="4.9871999999999996"/>
    <n v="4.9878"/>
    <d v="2026-04-28T13:10:26"/>
    <x v="3"/>
    <n v="0.02"/>
    <n v="0.02"/>
    <n v="0.36"/>
    <n v="0.36"/>
    <s v="Fechamento"/>
  </r>
  <r>
    <n v="21870"/>
    <n v="4.9978999999999996"/>
    <n v="4.9984999999999999"/>
    <d v="2026-04-29T13:11:25"/>
    <x v="3"/>
    <n v="0.01"/>
    <n v="0.01"/>
    <n v="0.21"/>
    <n v="0.21"/>
    <s v="Fechamento"/>
  </r>
  <r>
    <n v="21871"/>
    <n v="4.9880000000000004"/>
    <n v="4.9885999999999999"/>
    <d v="2026-04-30T13:06:28"/>
    <x v="3"/>
    <n v="-0.01"/>
    <n v="-0.01"/>
    <n v="-0.2"/>
    <n v="-0.2"/>
    <s v="Fechamento"/>
  </r>
  <r>
    <n v="21872"/>
    <n v="4.9581"/>
    <n v="4.9587000000000003"/>
    <d v="2026-05-04T13:09:26"/>
    <x v="4"/>
    <n v="-0.03"/>
    <n v="-0.03"/>
    <n v="-0.6"/>
    <n v="-0.6"/>
    <s v="Fechamento"/>
  </r>
  <r>
    <n v="21873"/>
    <n v="4.9236000000000004"/>
    <n v="4.9241999999999999"/>
    <d v="2026-05-05T13:04:26"/>
    <x v="4"/>
    <n v="-0.03"/>
    <n v="-0.03"/>
    <n v="-0.7"/>
    <n v="-0.7"/>
    <s v="Fechamento"/>
  </r>
  <r>
    <n v="21874"/>
    <n v="4.9268000000000001"/>
    <n v="4.9273999999999996"/>
    <d v="2026-05-06T13:08:28"/>
    <x v="4"/>
    <n v="0"/>
    <n v="0"/>
    <n v="0.06"/>
    <n v="0.06"/>
    <s v="Fechamento"/>
  </r>
  <r>
    <n v="21875"/>
    <n v="4.9164000000000003"/>
    <n v="4.9169999999999998"/>
    <d v="2026-05-07T13:09:29"/>
    <x v="4"/>
    <n v="-0.01"/>
    <n v="-0.01"/>
    <n v="-0.21"/>
    <n v="-0.21"/>
    <s v="Fechamento"/>
  </r>
  <r>
    <n v="21876"/>
    <n v="4.8993000000000002"/>
    <n v="4.8998999999999997"/>
    <d v="2026-05-08T13:05:32"/>
    <x v="4"/>
    <n v="-0.02"/>
    <n v="-0.02"/>
    <n v="-0.35"/>
    <n v="-0.35"/>
    <s v="Fechamento"/>
  </r>
  <r>
    <n v="21877"/>
    <n v="4.8967000000000001"/>
    <n v="4.8973000000000004"/>
    <d v="2026-05-11T13:08:25"/>
    <x v="4"/>
    <n v="0"/>
    <n v="0"/>
    <n v="-0.05"/>
    <n v="-0.05"/>
    <s v="Fechamento"/>
  </r>
  <r>
    <n v="21878"/>
    <n v="4.8971"/>
    <n v="4.8977000000000004"/>
    <d v="2026-05-12T13:11:27"/>
    <x v="4"/>
    <n v="0"/>
    <n v="0"/>
    <n v="0.01"/>
    <n v="0.01"/>
    <s v="Fechamento"/>
  </r>
  <r>
    <n v="21879"/>
    <n v="4.9112"/>
    <n v="4.9118000000000004"/>
    <d v="2026-05-13T13:17:55"/>
    <x v="4"/>
    <n v="0.01"/>
    <n v="0.01"/>
    <n v="0.28999999999999998"/>
    <n v="0.28999999999999998"/>
    <s v="Fechamento"/>
  </r>
  <r>
    <n v="21880"/>
    <n v="4.9802999999999997"/>
    <n v="4.9809000000000001"/>
    <d v="2026-05-14T13:03:15"/>
    <x v="4"/>
    <n v="7.0000000000000007E-2"/>
    <n v="7.0000000000000007E-2"/>
    <n v="1.41"/>
    <n v="1.41"/>
    <s v="Fechamento"/>
  </r>
  <r>
    <n v="21881"/>
    <n v="5.0648"/>
    <n v="5.0654000000000003"/>
    <d v="2026-05-15T13:08:27"/>
    <x v="4"/>
    <n v="0.08"/>
    <n v="0.08"/>
    <n v="1.7"/>
    <n v="1.7"/>
    <s v="Fechamento"/>
  </r>
  <r>
    <n v="21882"/>
    <n v="5.0087000000000002"/>
    <n v="5.0092999999999996"/>
    <d v="2026-05-18T13:04:26"/>
    <x v="4"/>
    <n v="-0.06"/>
    <n v="-0.06"/>
    <n v="-1.1100000000000001"/>
    <n v="-1.1100000000000001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n v="21791"/>
    <n v="5.4366000000000003"/>
    <n v="5.4371999999999998"/>
    <d v="2026-01-02T13:03:33"/>
    <x v="0"/>
    <n v="0"/>
    <n v="0"/>
    <n v="0"/>
    <n v="0"/>
    <s v="Fechamento"/>
  </r>
  <r>
    <n v="21792"/>
    <n v="5.4344999999999999"/>
    <n v="5.4351000000000003"/>
    <d v="2026-01-05T13:10:15"/>
    <x v="0"/>
    <n v="0"/>
    <n v="0"/>
    <n v="-0.04"/>
    <n v="-0.04"/>
    <s v="Fechamento"/>
  </r>
  <r>
    <n v="21793"/>
    <n v="5.3791000000000002"/>
    <n v="5.3796999999999997"/>
    <d v="2026-01-06T13:12:07"/>
    <x v="0"/>
    <n v="-0.06"/>
    <n v="-0.06"/>
    <n v="-1.02"/>
    <n v="-1.02"/>
    <s v="Fechamento"/>
  </r>
  <r>
    <n v="21794"/>
    <n v="5.3874000000000004"/>
    <n v="5.3879999999999999"/>
    <d v="2026-01-07T13:06:27"/>
    <x v="0"/>
    <n v="0.01"/>
    <n v="0.01"/>
    <n v="0.15"/>
    <n v="0.15"/>
    <s v="Fechamento"/>
  </r>
  <r>
    <n v="21795"/>
    <n v="5.3853999999999997"/>
    <n v="5.3860000000000001"/>
    <d v="2026-01-08T13:04:29"/>
    <x v="0"/>
    <n v="0"/>
    <n v="0"/>
    <n v="-0.04"/>
    <n v="-0.04"/>
    <s v="Fechamento"/>
  </r>
  <r>
    <n v="21796"/>
    <n v="5.3700999999999999"/>
    <n v="5.3707000000000003"/>
    <d v="2026-01-09T13:09:29"/>
    <x v="0"/>
    <n v="-0.02"/>
    <n v="-0.02"/>
    <n v="-0.28000000000000003"/>
    <n v="-0.28000000000000003"/>
    <s v="Fechamento"/>
  </r>
  <r>
    <n v="21797"/>
    <n v="5.3754"/>
    <n v="5.3760000000000003"/>
    <d v="2026-01-12T13:08:29"/>
    <x v="0"/>
    <n v="0.01"/>
    <n v="0.01"/>
    <n v="0.1"/>
    <n v="0.1"/>
    <s v="Fechamento"/>
  </r>
  <r>
    <n v="21798"/>
    <n v="5.3757999999999999"/>
    <n v="5.3764000000000003"/>
    <d v="2026-01-13T13:08:54"/>
    <x v="0"/>
    <n v="0"/>
    <n v="0"/>
    <n v="0.01"/>
    <n v="0.01"/>
    <s v="Fechamento"/>
  </r>
  <r>
    <n v="21799"/>
    <n v="5.3788999999999998"/>
    <n v="5.3795000000000002"/>
    <d v="2026-01-14T13:04:32"/>
    <x v="0"/>
    <n v="0"/>
    <n v="0"/>
    <n v="0.06"/>
    <n v="0.06"/>
    <s v="Fechamento"/>
  </r>
  <r>
    <n v="21800"/>
    <n v="5.3840000000000003"/>
    <n v="5.3845999999999998"/>
    <d v="2026-01-15T13:05:26"/>
    <x v="0"/>
    <n v="0.01"/>
    <n v="0.01"/>
    <n v="0.09"/>
    <n v="0.09"/>
    <s v="Fechamento"/>
  </r>
  <r>
    <n v="21801"/>
    <n v="5.3792"/>
    <n v="5.3798000000000004"/>
    <d v="2026-01-16T13:04:26"/>
    <x v="0"/>
    <n v="0"/>
    <n v="0"/>
    <n v="-0.09"/>
    <n v="-0.09"/>
    <s v="Fechamento"/>
  </r>
  <r>
    <n v="21802"/>
    <n v="5.3647"/>
    <n v="5.3653000000000004"/>
    <d v="2026-01-19T13:07:28"/>
    <x v="0"/>
    <n v="-0.01"/>
    <n v="-0.01"/>
    <n v="-0.27"/>
    <n v="-0.27"/>
    <s v="Fechamento"/>
  </r>
  <r>
    <n v="21803"/>
    <n v="5.3784000000000001"/>
    <n v="5.3789999999999996"/>
    <d v="2026-01-20T13:02:31"/>
    <x v="0"/>
    <n v="0.01"/>
    <n v="0.01"/>
    <n v="0.26"/>
    <n v="0.26"/>
    <s v="Fechamento"/>
  </r>
  <r>
    <n v="21804"/>
    <n v="5.3361999999999998"/>
    <n v="5.3368000000000002"/>
    <d v="2026-01-21T13:04:33"/>
    <x v="0"/>
    <n v="-0.04"/>
    <n v="-0.04"/>
    <n v="-0.78"/>
    <n v="-0.78"/>
    <s v="Fechamento"/>
  </r>
  <r>
    <n v="21805"/>
    <n v="5.3112000000000004"/>
    <n v="5.3117999999999999"/>
    <d v="2026-01-22T13:07:26"/>
    <x v="0"/>
    <n v="-0.03"/>
    <n v="-0.02"/>
    <n v="-0.47"/>
    <n v="-0.47"/>
    <s v="Fechamento"/>
  </r>
  <r>
    <n v="21806"/>
    <n v="5.2872000000000003"/>
    <n v="5.2878999999999996"/>
    <d v="2026-01-23T13:09:26"/>
    <x v="0"/>
    <n v="-0.02"/>
    <n v="-0.02"/>
    <n v="-0.45"/>
    <n v="-0.45"/>
    <s v="Fechamento"/>
  </r>
  <r>
    <n v="21807"/>
    <n v="5.2754000000000003"/>
    <n v="5.2759999999999998"/>
    <d v="2026-01-26T13:09:03"/>
    <x v="0"/>
    <n v="-0.01"/>
    <n v="-0.01"/>
    <n v="-0.23"/>
    <n v="-0.22"/>
    <s v="Fechamento"/>
  </r>
  <r>
    <n v="21808"/>
    <n v="5.2385999999999999"/>
    <n v="5.2392000000000003"/>
    <d v="2026-01-27T13:08:26"/>
    <x v="0"/>
    <n v="-0.04"/>
    <n v="-0.04"/>
    <n v="-0.7"/>
    <n v="-0.7"/>
    <s v="Fechamento"/>
  </r>
  <r>
    <n v="21809"/>
    <n v="5.1832000000000003"/>
    <n v="5.1837999999999997"/>
    <d v="2026-01-28T13:10:27"/>
    <x v="0"/>
    <n v="-0.06"/>
    <n v="-0.06"/>
    <n v="-1.06"/>
    <n v="-1.06"/>
    <s v="Fechamento"/>
  </r>
  <r>
    <n v="21810"/>
    <n v="5.1950000000000003"/>
    <n v="5.1955999999999998"/>
    <d v="2026-01-29T13:08:23"/>
    <x v="0"/>
    <n v="0.01"/>
    <n v="0.01"/>
    <n v="0.23"/>
    <n v="0.23"/>
    <s v="Fechamento"/>
  </r>
  <r>
    <n v="21811"/>
    <n v="5.2294999999999998"/>
    <n v="5.2301000000000002"/>
    <d v="2026-01-30T13:05:29"/>
    <x v="0"/>
    <n v="0.03"/>
    <n v="0.03"/>
    <n v="0.66"/>
    <n v="0.66"/>
    <s v="Fechamento"/>
  </r>
  <r>
    <n v="21812"/>
    <n v="5.2580999999999998"/>
    <n v="5.2587000000000002"/>
    <d v="2026-02-02T13:07:28"/>
    <x v="1"/>
    <n v="0.03"/>
    <n v="0.03"/>
    <n v="0.55000000000000004"/>
    <n v="0.55000000000000004"/>
    <s v="Fechamento"/>
  </r>
  <r>
    <n v="21813"/>
    <n v="5.2229999999999999"/>
    <n v="5.2236000000000002"/>
    <d v="2026-02-03T13:11:27"/>
    <x v="1"/>
    <n v="-0.04"/>
    <n v="-0.04"/>
    <n v="-0.67"/>
    <n v="-0.67"/>
    <s v="Fechamento"/>
  </r>
  <r>
    <n v="21814"/>
    <n v="5.2352999999999996"/>
    <n v="5.2359"/>
    <d v="2026-02-04T13:10:29"/>
    <x v="1"/>
    <n v="0.01"/>
    <n v="0.01"/>
    <n v="0.24"/>
    <n v="0.24"/>
    <s v="Fechamento"/>
  </r>
  <r>
    <n v="21815"/>
    <n v="5.2573999999999996"/>
    <n v="5.258"/>
    <d v="2026-02-05T13:05:29"/>
    <x v="1"/>
    <n v="0.02"/>
    <n v="0.02"/>
    <n v="0.42"/>
    <n v="0.42"/>
    <s v="Fechamento"/>
  </r>
  <r>
    <n v="21816"/>
    <n v="5.2335000000000003"/>
    <n v="5.2340999999999998"/>
    <d v="2026-02-06T13:10:27"/>
    <x v="1"/>
    <n v="-0.02"/>
    <n v="-0.02"/>
    <n v="-0.45"/>
    <n v="-0.45"/>
    <s v="Fechamento"/>
  </r>
  <r>
    <n v="21817"/>
    <n v="5.1936999999999998"/>
    <n v="5.1943000000000001"/>
    <d v="2026-02-09T13:09:27"/>
    <x v="1"/>
    <n v="-0.04"/>
    <n v="-0.04"/>
    <n v="-0.76"/>
    <n v="-0.76"/>
    <s v="Fechamento"/>
  </r>
  <r>
    <n v="21818"/>
    <n v="5.2015000000000002"/>
    <n v="5.2020999999999997"/>
    <d v="2026-02-10T13:10:27"/>
    <x v="1"/>
    <n v="0.01"/>
    <n v="0.01"/>
    <n v="0.15"/>
    <n v="0.15"/>
    <s v="Fechamento"/>
  </r>
  <r>
    <n v="21819"/>
    <n v="5.1829999999999998"/>
    <n v="5.1836000000000002"/>
    <d v="2026-02-11T13:03:28"/>
    <x v="1"/>
    <n v="-0.02"/>
    <n v="-0.02"/>
    <n v="-0.36"/>
    <n v="-0.36"/>
    <s v="Fechamento"/>
  </r>
  <r>
    <n v="21820"/>
    <n v="5.1668000000000003"/>
    <n v="5.1673999999999998"/>
    <d v="2026-02-12T13:04:38"/>
    <x v="1"/>
    <n v="-0.02"/>
    <n v="-0.02"/>
    <n v="-0.31"/>
    <n v="-0.31"/>
    <s v="Fechamento"/>
  </r>
  <r>
    <n v="21821"/>
    <n v="5.2282000000000002"/>
    <n v="5.2287999999999997"/>
    <d v="2026-02-13T13:04:28"/>
    <x v="1"/>
    <n v="0.06"/>
    <n v="0.06"/>
    <n v="1.19"/>
    <n v="1.19"/>
    <s v="Fechamento"/>
  </r>
  <r>
    <n v="21822"/>
    <n v="5.2343000000000002"/>
    <n v="5.2348999999999997"/>
    <d v="2026-02-18T15:40:29"/>
    <x v="1"/>
    <n v="0.01"/>
    <n v="0.01"/>
    <n v="0.12"/>
    <n v="0.12"/>
    <s v="Fechamento"/>
  </r>
  <r>
    <n v="21823"/>
    <n v="5.2249999999999996"/>
    <n v="5.2256999999999998"/>
    <d v="2026-02-19T13:11:27"/>
    <x v="1"/>
    <n v="-0.01"/>
    <n v="-0.01"/>
    <n v="-0.18"/>
    <n v="-0.18"/>
    <s v="Fechamento"/>
  </r>
  <r>
    <n v="21824"/>
    <n v="5.2"/>
    <n v="5.2005999999999997"/>
    <d v="2026-02-20T13:02:26"/>
    <x v="1"/>
    <n v="-0.03"/>
    <n v="-0.02"/>
    <n v="-0.48"/>
    <n v="-0.48"/>
    <s v="Fechamento"/>
  </r>
  <r>
    <n v="21825"/>
    <n v="5.1628999999999996"/>
    <n v="5.1635"/>
    <d v="2026-02-23T13:02:28"/>
    <x v="1"/>
    <n v="-0.04"/>
    <n v="-0.04"/>
    <n v="-0.71"/>
    <n v="-0.71"/>
    <s v="Fechamento"/>
  </r>
  <r>
    <n v="21826"/>
    <n v="5.1676000000000002"/>
    <n v="5.1681999999999997"/>
    <d v="2026-02-24T13:04:29"/>
    <x v="1"/>
    <n v="0"/>
    <n v="0"/>
    <n v="0.09"/>
    <n v="0.09"/>
    <s v="Fechamento"/>
  </r>
  <r>
    <n v="21827"/>
    <n v="5.1433999999999997"/>
    <n v="5.1440000000000001"/>
    <d v="2026-02-25T13:05:28"/>
    <x v="1"/>
    <n v="-0.02"/>
    <n v="-0.02"/>
    <n v="-0.47"/>
    <n v="-0.47"/>
    <s v="Fechamento"/>
  </r>
  <r>
    <n v="21828"/>
    <n v="5.1375999999999999"/>
    <n v="5.1382000000000003"/>
    <d v="2026-02-26T13:06:33"/>
    <x v="1"/>
    <n v="-0.01"/>
    <n v="-0.01"/>
    <n v="-0.11"/>
    <n v="-0.11"/>
    <s v="Fechamento"/>
  </r>
  <r>
    <n v="21829"/>
    <n v="5.1489000000000003"/>
    <n v="5.1494999999999997"/>
    <d v="2026-02-27T13:02:27"/>
    <x v="1"/>
    <n v="0.01"/>
    <n v="0.01"/>
    <n v="0.22"/>
    <n v="0.22"/>
    <s v="Fechamento"/>
  </r>
  <r>
    <n v="21830"/>
    <n v="5.1994999999999996"/>
    <n v="5.2000999999999999"/>
    <d v="2026-03-02T13:09:26"/>
    <x v="2"/>
    <n v="0.05"/>
    <n v="0.05"/>
    <n v="0.98"/>
    <n v="0.98"/>
    <s v="Fechamento"/>
  </r>
  <r>
    <n v="21831"/>
    <n v="5.2864000000000004"/>
    <n v="5.2869999999999999"/>
    <d v="2026-03-03T13:10:28"/>
    <x v="2"/>
    <n v="0.09"/>
    <n v="0.09"/>
    <n v="1.67"/>
    <n v="1.67"/>
    <s v="Fechamento"/>
  </r>
  <r>
    <n v="21832"/>
    <n v="5.2084999999999999"/>
    <n v="5.2091000000000003"/>
    <d v="2026-03-04T13:07:27"/>
    <x v="2"/>
    <n v="-0.08"/>
    <n v="-0.08"/>
    <n v="-1.47"/>
    <n v="-1.47"/>
    <s v="Fechamento"/>
  </r>
  <r>
    <n v="21833"/>
    <n v="5.2441000000000004"/>
    <n v="5.2446999999999999"/>
    <d v="2026-03-05T13:03:30"/>
    <x v="2"/>
    <n v="0.04"/>
    <n v="0.04"/>
    <n v="0.68"/>
    <n v="0.68"/>
    <s v="Fechamento"/>
  </r>
  <r>
    <n v="21834"/>
    <n v="5.2872000000000003"/>
    <n v="5.2877999999999998"/>
    <d v="2026-03-06T13:10:28"/>
    <x v="2"/>
    <n v="0.04"/>
    <n v="0.04"/>
    <n v="0.82"/>
    <n v="0.82"/>
    <s v="Fechamento"/>
  </r>
  <r>
    <n v="21835"/>
    <n v="5.2133000000000003"/>
    <n v="5.2138999999999998"/>
    <d v="2026-03-09T13:10:28"/>
    <x v="2"/>
    <n v="-7.0000000000000007E-2"/>
    <n v="-7.0000000000000007E-2"/>
    <n v="-1.4"/>
    <n v="-1.4"/>
    <s v="Fechamento"/>
  </r>
  <r>
    <n v="21836"/>
    <n v="5.1616"/>
    <n v="5.1622000000000003"/>
    <d v="2026-03-10T13:09:26"/>
    <x v="2"/>
    <n v="-0.05"/>
    <n v="-0.05"/>
    <n v="-0.99"/>
    <n v="-0.99"/>
    <s v="Fechamento"/>
  </r>
  <r>
    <n v="21837"/>
    <n v="5.1589999999999998"/>
    <n v="5.1596000000000002"/>
    <d v="2026-03-11T13:04:26"/>
    <x v="2"/>
    <n v="0"/>
    <n v="0"/>
    <n v="-0.05"/>
    <n v="-0.05"/>
    <s v="Fechamento"/>
  </r>
  <r>
    <n v="21838"/>
    <n v="5.2045000000000003"/>
    <n v="5.2050999999999998"/>
    <d v="2026-03-12T13:10:29"/>
    <x v="2"/>
    <n v="0.05"/>
    <n v="0.05"/>
    <n v="0.88"/>
    <n v="0.88"/>
    <s v="Fechamento"/>
  </r>
  <r>
    <n v="21839"/>
    <n v="5.2534999999999998"/>
    <n v="5.2541000000000002"/>
    <d v="2026-03-13T13:03:29"/>
    <x v="2"/>
    <n v="0.05"/>
    <n v="0.05"/>
    <n v="0.94"/>
    <n v="0.94"/>
    <s v="Fechamento"/>
  </r>
  <r>
    <n v="21840"/>
    <n v="5.2641"/>
    <n v="5.2647000000000004"/>
    <d v="2026-03-16T13:08:25"/>
    <x v="2"/>
    <n v="0.01"/>
    <n v="0.01"/>
    <n v="0.2"/>
    <n v="0.2"/>
    <s v="Fechamento"/>
  </r>
  <r>
    <n v="21841"/>
    <n v="5.2016"/>
    <n v="5.2022000000000004"/>
    <d v="2026-03-17T13:09:33"/>
    <x v="2"/>
    <n v="-0.06"/>
    <n v="-0.06"/>
    <n v="-1.19"/>
    <n v="-1.19"/>
    <s v="Fechamento"/>
  </r>
  <r>
    <n v="21842"/>
    <n v="5.2106000000000003"/>
    <n v="5.2111999999999998"/>
    <d v="2026-03-18T13:08:33"/>
    <x v="2"/>
    <n v="0.01"/>
    <n v="0.01"/>
    <n v="0.17"/>
    <n v="0.17"/>
    <s v="Fechamento"/>
  </r>
  <r>
    <n v="21843"/>
    <n v="5.2580999999999998"/>
    <n v="5.2587000000000002"/>
    <d v="2026-03-19T13:02:27"/>
    <x v="2"/>
    <n v="0.05"/>
    <n v="0.05"/>
    <n v="0.91"/>
    <n v="0.91"/>
    <s v="Fechamento"/>
  </r>
  <r>
    <n v="21844"/>
    <n v="5.2793000000000001"/>
    <n v="5.28"/>
    <d v="2026-03-20T13:11:28"/>
    <x v="2"/>
    <n v="0.02"/>
    <n v="0.02"/>
    <n v="0.41"/>
    <n v="0.4"/>
    <s v="Fechamento"/>
  </r>
  <r>
    <n v="21845"/>
    <n v="5.2434000000000003"/>
    <n v="5.2439999999999998"/>
    <d v="2026-03-23T13:11:28"/>
    <x v="2"/>
    <n v="-0.04"/>
    <n v="-0.04"/>
    <n v="-0.68"/>
    <n v="-0.68"/>
    <s v="Fechamento"/>
  </r>
  <r>
    <n v="21846"/>
    <n v="5.2592999999999996"/>
    <n v="5.2599"/>
    <d v="2026-03-24T13:09:29"/>
    <x v="2"/>
    <n v="0.02"/>
    <n v="0.02"/>
    <n v="0.3"/>
    <n v="0.3"/>
    <s v="Fechamento"/>
  </r>
  <r>
    <n v="21847"/>
    <n v="5.2268999999999997"/>
    <n v="5.2275"/>
    <d v="2026-03-25T13:08:34"/>
    <x v="2"/>
    <n v="-0.03"/>
    <n v="-0.03"/>
    <n v="-0.62"/>
    <n v="-0.62"/>
    <s v="Fechamento"/>
  </r>
  <r>
    <n v="21848"/>
    <n v="5.2302"/>
    <n v="5.2308000000000003"/>
    <d v="2026-03-26T13:11:09"/>
    <x v="2"/>
    <n v="0"/>
    <n v="0"/>
    <n v="0.06"/>
    <n v="0.06"/>
    <s v="Fechamento"/>
  </r>
  <r>
    <n v="21849"/>
    <n v="5.2370000000000001"/>
    <n v="5.2375999999999996"/>
    <d v="2026-03-27T13:11:42"/>
    <x v="2"/>
    <n v="0.01"/>
    <n v="0.01"/>
    <n v="0.13"/>
    <n v="0.13"/>
    <s v="Fechamento"/>
  </r>
  <r>
    <n v="21850"/>
    <n v="5.2347000000000001"/>
    <n v="5.2352999999999996"/>
    <d v="2026-03-30T13:10:28"/>
    <x v="2"/>
    <n v="0"/>
    <n v="0"/>
    <n v="-0.04"/>
    <n v="-0.04"/>
    <s v="Fechamento"/>
  </r>
  <r>
    <n v="21851"/>
    <n v="5.2187999999999999"/>
    <n v="5.2194000000000003"/>
    <d v="2026-03-31T13:04:23"/>
    <x v="2"/>
    <n v="-0.02"/>
    <n v="-0.02"/>
    <n v="-0.3"/>
    <n v="-0.3"/>
    <s v="Fechamento"/>
  </r>
  <r>
    <n v="21852"/>
    <n v="5.16"/>
    <n v="5.1605999999999996"/>
    <d v="2026-04-01T13:06:28"/>
    <x v="3"/>
    <n v="-0.06"/>
    <n v="-0.06"/>
    <n v="-1.1299999999999999"/>
    <n v="-1.1299999999999999"/>
    <s v="Fechamento"/>
  </r>
  <r>
    <n v="21853"/>
    <n v="5.1649000000000003"/>
    <n v="5.1654999999999998"/>
    <d v="2026-04-02T13:10:27"/>
    <x v="3"/>
    <n v="0"/>
    <n v="0"/>
    <n v="0.09"/>
    <n v="0.09"/>
    <s v="Fechamento"/>
  </r>
  <r>
    <n v="21854"/>
    <n v="5.1525999999999996"/>
    <n v="5.1532"/>
    <d v="2026-04-06T13:06:25"/>
    <x v="3"/>
    <n v="-0.01"/>
    <n v="-0.01"/>
    <n v="-0.24"/>
    <n v="-0.24"/>
    <s v="Fechamento"/>
  </r>
  <r>
    <n v="21855"/>
    <n v="5.1619000000000002"/>
    <n v="5.1624999999999996"/>
    <d v="2026-04-07T13:08:26"/>
    <x v="3"/>
    <n v="0.01"/>
    <n v="0.01"/>
    <n v="0.18"/>
    <n v="0.18"/>
    <s v="Fechamento"/>
  </r>
  <r>
    <n v="21856"/>
    <n v="5.0892999999999997"/>
    <n v="5.0899000000000001"/>
    <d v="2026-04-08T13:02:29"/>
    <x v="3"/>
    <n v="-7.0000000000000007E-2"/>
    <n v="-7.0000000000000007E-2"/>
    <n v="-1.41"/>
    <n v="-1.41"/>
    <s v="Fechamento"/>
  </r>
  <r>
    <n v="21857"/>
    <n v="5.0815000000000001"/>
    <n v="5.0820999999999996"/>
    <d v="2026-04-09T13:10:30"/>
    <x v="3"/>
    <n v="-0.01"/>
    <n v="-0.01"/>
    <n v="-0.15"/>
    <n v="-0.15"/>
    <s v="Fechamento"/>
  </r>
  <r>
    <n v="21858"/>
    <n v="5.0223000000000004"/>
    <n v="5.0228999999999999"/>
    <d v="2026-04-10T13:04:25"/>
    <x v="3"/>
    <n v="-0.06"/>
    <n v="-0.06"/>
    <n v="-1.1599999999999999"/>
    <n v="-1.17"/>
    <s v="Fechamento"/>
  </r>
  <r>
    <n v="21859"/>
    <n v="5.0237999999999996"/>
    <n v="5.0244"/>
    <d v="2026-04-13T13:04:54"/>
    <x v="3"/>
    <n v="0"/>
    <n v="0"/>
    <n v="0.03"/>
    <n v="0.03"/>
    <s v="Fechamento"/>
  </r>
  <r>
    <n v="21860"/>
    <n v="4.9800000000000004"/>
    <n v="4.9805999999999999"/>
    <d v="2026-04-14T13:03:27"/>
    <x v="3"/>
    <n v="-0.04"/>
    <n v="-0.04"/>
    <n v="-0.87"/>
    <n v="-0.87"/>
    <s v="Fechamento"/>
  </r>
  <r>
    <n v="21861"/>
    <n v="4.9922000000000004"/>
    <n v="4.9927999999999999"/>
    <d v="2026-04-15T13:06:26"/>
    <x v="3"/>
    <n v="0.01"/>
    <n v="0.01"/>
    <n v="0.24"/>
    <n v="0.24"/>
    <s v="Fechamento"/>
  </r>
  <r>
    <n v="21862"/>
    <n v="5.0000999999999998"/>
    <n v="5.0007000000000001"/>
    <d v="2026-04-16T13:03:29"/>
    <x v="3"/>
    <n v="0.01"/>
    <n v="0.01"/>
    <n v="0.16"/>
    <n v="0.16"/>
    <s v="Fechamento"/>
  </r>
  <r>
    <n v="21863"/>
    <n v="4.9688999999999997"/>
    <n v="4.9695"/>
    <d v="2026-04-17T13:09:27"/>
    <x v="3"/>
    <n v="-0.03"/>
    <n v="-0.03"/>
    <n v="-0.62"/>
    <n v="-0.62"/>
    <s v="Fechamento"/>
  </r>
  <r>
    <n v="21864"/>
    <n v="4.9837999999999996"/>
    <n v="4.9843999999999999"/>
    <d v="2026-04-20T13:02:26"/>
    <x v="3"/>
    <n v="0.01"/>
    <n v="0.01"/>
    <n v="0.3"/>
    <n v="0.3"/>
    <s v="Fechamento"/>
  </r>
  <r>
    <n v="21865"/>
    <n v="4.9646999999999997"/>
    <n v="4.9653"/>
    <d v="2026-04-22T13:11:28"/>
    <x v="3"/>
    <n v="-0.02"/>
    <n v="-0.02"/>
    <n v="-0.38"/>
    <n v="-0.38"/>
    <s v="Fechamento"/>
  </r>
  <r>
    <n v="21866"/>
    <n v="4.9532999999999996"/>
    <n v="4.9539"/>
    <d v="2026-04-23T13:03:26"/>
    <x v="3"/>
    <n v="-0.01"/>
    <n v="-0.01"/>
    <n v="-0.23"/>
    <n v="-0.23"/>
    <s v="Fechamento"/>
  </r>
  <r>
    <n v="21867"/>
    <n v="5.0076999999999998"/>
    <n v="5.0083000000000002"/>
    <d v="2026-04-24T13:06:16"/>
    <x v="3"/>
    <n v="0.05"/>
    <n v="0.05"/>
    <n v="1.1000000000000001"/>
    <n v="1.1000000000000001"/>
    <s v="Fechamento"/>
  </r>
  <r>
    <n v="21868"/>
    <n v="4.9694000000000003"/>
    <n v="4.97"/>
    <d v="2026-04-27T13:06:14"/>
    <x v="3"/>
    <n v="-0.04"/>
    <n v="-0.04"/>
    <n v="-0.76"/>
    <n v="-0.76"/>
    <s v="Fechamento"/>
  </r>
  <r>
    <n v="21869"/>
    <n v="4.9871999999999996"/>
    <n v="4.9878"/>
    <d v="2026-04-28T13:10:26"/>
    <x v="3"/>
    <n v="0.02"/>
    <n v="0.02"/>
    <n v="0.36"/>
    <n v="0.36"/>
    <s v="Fechamento"/>
  </r>
  <r>
    <n v="21870"/>
    <n v="4.9978999999999996"/>
    <n v="4.9984999999999999"/>
    <d v="2026-04-29T13:11:25"/>
    <x v="3"/>
    <n v="0.01"/>
    <n v="0.01"/>
    <n v="0.21"/>
    <n v="0.21"/>
    <s v="Fechamento"/>
  </r>
  <r>
    <n v="21871"/>
    <n v="4.9880000000000004"/>
    <n v="4.9885999999999999"/>
    <d v="2026-04-30T13:06:28"/>
    <x v="3"/>
    <n v="-0.01"/>
    <n v="-0.01"/>
    <n v="-0.2"/>
    <n v="-0.2"/>
    <s v="Fechamento"/>
  </r>
  <r>
    <n v="21872"/>
    <n v="4.9581"/>
    <n v="4.9587000000000003"/>
    <d v="2026-05-04T13:09:26"/>
    <x v="4"/>
    <n v="-0.03"/>
    <n v="-0.03"/>
    <n v="-0.6"/>
    <n v="-0.6"/>
    <s v="Fechamento"/>
  </r>
  <r>
    <n v="21873"/>
    <n v="4.9236000000000004"/>
    <n v="4.9241999999999999"/>
    <d v="2026-05-05T13:04:26"/>
    <x v="4"/>
    <n v="-0.03"/>
    <n v="-0.03"/>
    <n v="-0.7"/>
    <n v="-0.7"/>
    <s v="Fechamento"/>
  </r>
  <r>
    <n v="21874"/>
    <n v="4.9268000000000001"/>
    <n v="4.9273999999999996"/>
    <d v="2026-05-06T13:08:28"/>
    <x v="4"/>
    <n v="0"/>
    <n v="0"/>
    <n v="0.06"/>
    <n v="0.06"/>
    <s v="Fechamento"/>
  </r>
  <r>
    <n v="21875"/>
    <n v="4.9164000000000003"/>
    <n v="4.9169999999999998"/>
    <d v="2026-05-07T13:09:29"/>
    <x v="4"/>
    <n v="-0.01"/>
    <n v="-0.01"/>
    <n v="-0.21"/>
    <n v="-0.21"/>
    <s v="Fechamento"/>
  </r>
  <r>
    <n v="21876"/>
    <n v="4.8993000000000002"/>
    <n v="4.8998999999999997"/>
    <d v="2026-05-08T13:05:32"/>
    <x v="4"/>
    <n v="-0.02"/>
    <n v="-0.02"/>
    <n v="-0.35"/>
    <n v="-0.35"/>
    <s v="Fechamento"/>
  </r>
  <r>
    <n v="21877"/>
    <n v="4.8967000000000001"/>
    <n v="4.8973000000000004"/>
    <d v="2026-05-11T13:08:25"/>
    <x v="4"/>
    <n v="0"/>
    <n v="0"/>
    <n v="-0.05"/>
    <n v="-0.05"/>
    <s v="Fechamento"/>
  </r>
  <r>
    <n v="21878"/>
    <n v="4.8971"/>
    <n v="4.8977000000000004"/>
    <d v="2026-05-12T13:11:27"/>
    <x v="4"/>
    <n v="0"/>
    <n v="0"/>
    <n v="0.01"/>
    <n v="0.01"/>
    <s v="Fechamento"/>
  </r>
  <r>
    <n v="21879"/>
    <n v="4.9112"/>
    <n v="4.9118000000000004"/>
    <d v="2026-05-13T13:17:55"/>
    <x v="4"/>
    <n v="0.01"/>
    <n v="0.01"/>
    <n v="0.28999999999999998"/>
    <n v="0.28999999999999998"/>
    <s v="Fechamento"/>
  </r>
  <r>
    <n v="21880"/>
    <n v="4.9802999999999997"/>
    <n v="4.9809000000000001"/>
    <d v="2026-05-14T13:03:15"/>
    <x v="4"/>
    <n v="7.0000000000000007E-2"/>
    <n v="7.0000000000000007E-2"/>
    <n v="1.41"/>
    <n v="1.41"/>
    <s v="Fechamento"/>
  </r>
  <r>
    <n v="21881"/>
    <n v="5.0648"/>
    <n v="5.0654000000000003"/>
    <d v="2026-05-15T13:08:27"/>
    <x v="4"/>
    <n v="0.08"/>
    <n v="0.08"/>
    <n v="1.7"/>
    <n v="1.7"/>
    <s v="Fechamento"/>
  </r>
  <r>
    <n v="21882"/>
    <n v="5.0087000000000002"/>
    <n v="5.0092999999999996"/>
    <d v="2026-05-18T13:04:26"/>
    <x v="4"/>
    <n v="-0.06"/>
    <n v="-0.06"/>
    <n v="-1.1100000000000001"/>
    <n v="-1.1100000000000001"/>
    <s v="Fechamento"/>
  </r>
  <r>
    <n v="21"/>
    <n v="3"/>
    <n v="4"/>
    <d v="2026-06-15T13:08:27"/>
    <x v="5"/>
    <n v="-0.06"/>
    <n v="-0.06"/>
    <n v="-1.1100000000000001"/>
    <n v="-1.1100000000000001"/>
    <s v="Fechament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">
  <r>
    <n v="18182"/>
    <n v="6.3879999999999999"/>
    <n v="6.3898000000000001"/>
    <d v="2026-01-02T13:03:33"/>
    <x v="0"/>
    <n v="0"/>
    <n v="0"/>
    <n v="0"/>
    <n v="0"/>
    <s v="Fechamento"/>
  </r>
  <r>
    <n v="18183"/>
    <n v="6.3605"/>
    <n v="6.3617999999999997"/>
    <d v="2026-01-05T13:10:15"/>
    <x v="0"/>
    <n v="-0.03"/>
    <n v="-0.03"/>
    <n v="-0.44"/>
    <n v="-0.43"/>
    <s v="Fechamento"/>
  </r>
  <r>
    <n v="18184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185"/>
    <n v="6.2972999999999999"/>
    <n v="6.2991000000000001"/>
    <d v="2026-01-07T13:06:27"/>
    <x v="0"/>
    <n v="0.01"/>
    <n v="0.01"/>
    <n v="0.11"/>
    <n v="0.1"/>
    <s v="Fechamento"/>
  </r>
  <r>
    <n v="18186"/>
    <n v="6.2820999999999998"/>
    <n v="6.2838000000000003"/>
    <d v="2026-01-08T13:04:29"/>
    <x v="0"/>
    <n v="-0.02"/>
    <n v="-0.02"/>
    <n v="-0.24"/>
    <n v="-0.24"/>
    <s v="Fechamento"/>
  </r>
  <r>
    <n v="18187"/>
    <n v="6.2507999999999999"/>
    <n v="6.2526000000000002"/>
    <d v="2026-01-09T13:09:29"/>
    <x v="0"/>
    <n v="-0.03"/>
    <n v="-0.03"/>
    <n v="-0.5"/>
    <n v="-0.5"/>
    <s v="Fechamento"/>
  </r>
  <r>
    <n v="18188"/>
    <n v="6.2789999999999999"/>
    <n v="6.2801999999999998"/>
    <d v="2026-01-12T13:08:29"/>
    <x v="0"/>
    <n v="0.03"/>
    <n v="0.03"/>
    <n v="0.44"/>
    <n v="0.45"/>
    <s v="Fechamento"/>
  </r>
  <r>
    <n v="18189"/>
    <n v="6.2633000000000001"/>
    <n v="6.2651000000000003"/>
    <d v="2026-01-13T13:08:54"/>
    <x v="0"/>
    <n v="-0.02"/>
    <n v="-0.02"/>
    <n v="-0.24"/>
    <n v="-0.25"/>
    <s v="Fechamento"/>
  </r>
  <r>
    <n v="18190"/>
    <n v="6.2713000000000001"/>
    <n v="6.2729999999999997"/>
    <d v="2026-01-14T13:04:32"/>
    <x v="0"/>
    <n v="0.01"/>
    <n v="0.01"/>
    <n v="0.13"/>
    <n v="0.13"/>
    <s v="Fechamento"/>
  </r>
  <r>
    <n v="18191"/>
    <n v="6.2465000000000002"/>
    <n v="6.2477999999999998"/>
    <d v="2026-01-15T13:05:26"/>
    <x v="0"/>
    <n v="-0.03"/>
    <n v="-0.02"/>
    <n v="-0.4"/>
    <n v="-0.4"/>
    <s v="Fechamento"/>
  </r>
  <r>
    <n v="18192"/>
    <n v="6.2366000000000001"/>
    <n v="6.2384000000000004"/>
    <d v="2026-01-16T13:04:26"/>
    <x v="0"/>
    <n v="-0.01"/>
    <n v="-0.01"/>
    <n v="-0.15"/>
    <n v="-0.16"/>
    <s v="Fechamento"/>
  </r>
  <r>
    <n v="18193"/>
    <n v="6.2439999999999998"/>
    <n v="6.2457000000000003"/>
    <d v="2026-01-19T13:07:28"/>
    <x v="0"/>
    <n v="0.01"/>
    <n v="0.01"/>
    <n v="0.12"/>
    <n v="0.12"/>
    <s v="Fechamento"/>
  </r>
  <r>
    <n v="18194"/>
    <n v="6.3071999999999999"/>
    <n v="6.3085000000000004"/>
    <d v="2026-01-20T13:02:31"/>
    <x v="0"/>
    <n v="0.06"/>
    <n v="0.06"/>
    <n v="1.01"/>
    <n v="1.01"/>
    <s v="Fechamento"/>
  </r>
  <r>
    <n v="18195"/>
    <n v="6.2439"/>
    <n v="6.2450999999999999"/>
    <d v="2026-01-21T13:04:33"/>
    <x v="0"/>
    <n v="-0.06"/>
    <n v="-0.06"/>
    <n v="-1"/>
    <n v="-1"/>
    <s v="Fechamento"/>
  </r>
  <r>
    <n v="18196"/>
    <n v="6.2321999999999997"/>
    <n v="6.2333999999999996"/>
    <d v="2026-01-22T13:07:26"/>
    <x v="0"/>
    <n v="-0.01"/>
    <n v="-0.01"/>
    <n v="-0.19"/>
    <n v="-0.19"/>
    <s v="Fechamento"/>
  </r>
  <r>
    <n v="18197"/>
    <n v="6.2161999999999997"/>
    <n v="6.218"/>
    <d v="2026-01-23T13:09:26"/>
    <x v="0"/>
    <n v="-0.02"/>
    <n v="-0.02"/>
    <n v="-0.25"/>
    <n v="-0.26"/>
    <s v="Fechamento"/>
  </r>
  <r>
    <n v="18198"/>
    <n v="6.2746000000000004"/>
    <n v="6.2763"/>
    <d v="2026-01-26T13:09:03"/>
    <x v="0"/>
    <n v="0.06"/>
    <n v="0.06"/>
    <n v="0.94"/>
    <n v="0.94"/>
    <s v="Fechamento"/>
  </r>
  <r>
    <n v="18199"/>
    <n v="6.2601000000000004"/>
    <n v="6.2618999999999998"/>
    <d v="2026-01-27T13:08:26"/>
    <x v="0"/>
    <n v="-0.01"/>
    <n v="-0.01"/>
    <n v="-0.23"/>
    <n v="-0.23"/>
    <s v="Fechamento"/>
  </r>
  <r>
    <n v="18200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201"/>
    <n v="6.1966000000000001"/>
    <n v="6.1984000000000004"/>
    <d v="2026-01-29T13:08:23"/>
    <x v="0"/>
    <n v="0.01"/>
    <n v="0.01"/>
    <n v="0.09"/>
    <n v="0.09"/>
    <s v="Fechamento"/>
  </r>
  <r>
    <n v="18202"/>
    <n v="6.22"/>
    <n v="6.2217000000000002"/>
    <d v="2026-01-30T13:05:29"/>
    <x v="0"/>
    <n v="0.02"/>
    <n v="0.02"/>
    <n v="0.38"/>
    <n v="0.38"/>
    <s v="Fechamento"/>
  </r>
  <r>
    <n v="18203"/>
    <n v="6.2004000000000001"/>
    <n v="6.2016"/>
    <d v="2026-02-02T13:07:28"/>
    <x v="1"/>
    <n v="-0.02"/>
    <n v="-0.02"/>
    <n v="-0.32"/>
    <n v="-0.32"/>
    <s v="Fechamento"/>
  </r>
  <r>
    <n v="18204"/>
    <n v="6.1694000000000004"/>
    <n v="6.1711999999999998"/>
    <d v="2026-02-03T13:11:27"/>
    <x v="1"/>
    <n v="-0.03"/>
    <n v="-0.03"/>
    <n v="-0.49"/>
    <n v="-0.5"/>
    <s v="Fechamento"/>
  </r>
  <r>
    <n v="18205"/>
    <n v="6.1749999999999998"/>
    <n v="6.1768000000000001"/>
    <d v="2026-02-04T13:10:29"/>
    <x v="1"/>
    <n v="0.01"/>
    <n v="0.01"/>
    <n v="0.09"/>
    <n v="0.09"/>
    <s v="Fechamento"/>
  </r>
  <r>
    <n v="18206"/>
    <n v="6.1985000000000001"/>
    <n v="6.2001999999999997"/>
    <d v="2026-02-05T13:05:29"/>
    <x v="1"/>
    <n v="0.02"/>
    <n v="0.02"/>
    <n v="0.38"/>
    <n v="0.38"/>
    <s v="Fechamento"/>
  </r>
  <r>
    <n v="18207"/>
    <n v="6.1855000000000002"/>
    <n v="6.1867000000000001"/>
    <d v="2026-02-06T13:10:27"/>
    <x v="1"/>
    <n v="-0.01"/>
    <n v="-0.01"/>
    <n v="-0.22"/>
    <n v="-0.21"/>
    <s v="Fechamento"/>
  </r>
  <r>
    <n v="18208"/>
    <n v="6.1867000000000001"/>
    <n v="6.1879999999999997"/>
    <d v="2026-02-09T13:09:27"/>
    <x v="1"/>
    <n v="0"/>
    <n v="0"/>
    <n v="0.02"/>
    <n v="0.02"/>
    <s v="Fechamento"/>
  </r>
  <r>
    <n v="18209"/>
    <n v="6.1965000000000003"/>
    <n v="6.1982999999999997"/>
    <d v="2026-02-10T13:10:27"/>
    <x v="1"/>
    <n v="0.01"/>
    <n v="0.01"/>
    <n v="0.17"/>
    <n v="0.16"/>
    <s v="Fechamento"/>
  </r>
  <r>
    <n v="18210"/>
    <n v="6.1459999999999999"/>
    <n v="6.1477000000000004"/>
    <d v="2026-02-11T13:03:28"/>
    <x v="1"/>
    <n v="-0.05"/>
    <n v="-0.05"/>
    <n v="-0.82"/>
    <n v="-0.81"/>
    <s v="Fechamento"/>
  </r>
  <r>
    <n v="18211"/>
    <n v="6.1406999999999998"/>
    <n v="6.1425000000000001"/>
    <d v="2026-02-12T13:04:38"/>
    <x v="1"/>
    <n v="-0.01"/>
    <n v="-0.01"/>
    <n v="-0.08"/>
    <n v="-0.09"/>
    <s v="Fechamento"/>
  </r>
  <r>
    <n v="18212"/>
    <n v="6.1943999999999999"/>
    <n v="6.1955999999999998"/>
    <d v="2026-02-13T13:04:28"/>
    <x v="1"/>
    <n v="0.05"/>
    <n v="0.05"/>
    <n v="0.86"/>
    <n v="0.87"/>
    <s v="Fechamento"/>
  </r>
  <r>
    <n v="18213"/>
    <n v="6.1733000000000002"/>
    <n v="6.1745999999999999"/>
    <d v="2026-02-18T15:40:29"/>
    <x v="1"/>
    <n v="-0.02"/>
    <n v="-0.02"/>
    <n v="-0.34"/>
    <n v="-0.34"/>
    <s v="Fechamento"/>
  </r>
  <r>
    <n v="18214"/>
    <n v="6.1456"/>
    <n v="6.1475"/>
    <d v="2026-02-19T13:11:27"/>
    <x v="1"/>
    <n v="-0.03"/>
    <n v="-0.03"/>
    <n v="-0.44"/>
    <n v="-0.45"/>
    <s v="Fechamento"/>
  </r>
  <r>
    <n v="18215"/>
    <n v="6.1292"/>
    <n v="6.1310000000000002"/>
    <d v="2026-02-20T13:02:26"/>
    <x v="1"/>
    <n v="-0.02"/>
    <n v="-0.02"/>
    <n v="-0.27"/>
    <n v="-0.27"/>
    <s v="Fechamento"/>
  </r>
  <r>
    <n v="18216"/>
    <n v="6.0891000000000002"/>
    <n v="6.0903"/>
    <d v="2026-02-23T13:02:28"/>
    <x v="1"/>
    <n v="-0.04"/>
    <n v="-0.04"/>
    <n v="-0.66"/>
    <n v="-0.65"/>
    <s v="Fechamento"/>
  </r>
  <r>
    <n v="18217"/>
    <n v="6.0827999999999998"/>
    <n v="6.0845000000000002"/>
    <d v="2026-02-24T13:04:29"/>
    <x v="1"/>
    <n v="-0.01"/>
    <n v="-0.01"/>
    <n v="-0.1"/>
    <n v="-0.1"/>
    <s v="Fechamento"/>
  </r>
  <r>
    <n v="18218"/>
    <n v="6.0697000000000001"/>
    <n v="6.0709"/>
    <d v="2026-02-25T13:05:28"/>
    <x v="1"/>
    <n v="-0.01"/>
    <n v="-0.01"/>
    <n v="-0.22"/>
    <n v="-0.22"/>
    <s v="Fechamento"/>
  </r>
  <r>
    <n v="18219"/>
    <n v="6.0613000000000001"/>
    <n v="6.0631000000000004"/>
    <d v="2026-02-26T13:06:33"/>
    <x v="1"/>
    <n v="-0.01"/>
    <n v="-0.01"/>
    <n v="-0.13"/>
    <n v="-0.14000000000000001"/>
    <s v="Fechamento"/>
  </r>
  <r>
    <n v="18220"/>
    <n v="6.0762"/>
    <n v="6.0795000000000003"/>
    <d v="2026-02-27T13:02:27"/>
    <x v="1"/>
    <n v="0.02"/>
    <n v="0.01"/>
    <n v="0.27"/>
    <n v="0.25"/>
    <s v="Fechamento"/>
  </r>
  <r>
    <n v="18221"/>
    <n v="6.0724999999999998"/>
    <n v="6.0742000000000003"/>
    <d v="2026-03-02T13:09:26"/>
    <x v="2"/>
    <n v="-0.01"/>
    <n v="0"/>
    <n v="-0.09"/>
    <n v="-0.06"/>
    <s v="Fechamento"/>
  </r>
  <r>
    <n v="18222"/>
    <n v="6.1180000000000003"/>
    <n v="6.1196999999999999"/>
    <d v="2026-03-03T13:10:28"/>
    <x v="2"/>
    <n v="0.05"/>
    <n v="0.05"/>
    <n v="0.75"/>
    <n v="0.75"/>
    <s v="Fechamento"/>
  </r>
  <r>
    <n v="18223"/>
    <n v="6.0621999999999998"/>
    <n v="6.0639000000000003"/>
    <d v="2026-03-04T13:07:27"/>
    <x v="2"/>
    <n v="-0.06"/>
    <n v="-0.06"/>
    <n v="-0.91"/>
    <n v="-0.91"/>
    <s v="Fechamento"/>
  </r>
  <r>
    <n v="18224"/>
    <n v="6.0736999999999997"/>
    <n v="6.0749000000000004"/>
    <d v="2026-03-05T13:03:30"/>
    <x v="2"/>
    <n v="0.01"/>
    <n v="0.01"/>
    <n v="0.18"/>
    <n v="0.19"/>
    <s v="Fechamento"/>
  </r>
  <r>
    <n v="18225"/>
    <n v="6.1219999999999999"/>
    <n v="6.1238000000000001"/>
    <d v="2026-03-06T13:10:28"/>
    <x v="2"/>
    <n v="0.05"/>
    <n v="0.05"/>
    <n v="0.8"/>
    <n v="0.8"/>
    <s v="Fechamento"/>
  </r>
  <r>
    <n v="18226"/>
    <n v="6.0433000000000003"/>
    <n v="6.0445000000000002"/>
    <d v="2026-03-09T13:10:28"/>
    <x v="2"/>
    <n v="-0.08"/>
    <n v="-0.08"/>
    <n v="-1.29"/>
    <n v="-1.29"/>
    <s v="Fechamento"/>
  </r>
  <r>
    <n v="18227"/>
    <n v="6.0111999999999997"/>
    <n v="6.0129000000000001"/>
    <d v="2026-03-10T13:09:26"/>
    <x v="2"/>
    <n v="-0.03"/>
    <n v="-0.03"/>
    <n v="-0.52"/>
    <n v="-0.53"/>
    <s v="Fechamento"/>
  </r>
  <r>
    <n v="18228"/>
    <n v="5.9668999999999999"/>
    <n v="5.9680999999999997"/>
    <d v="2026-03-11T13:04:26"/>
    <x v="2"/>
    <n v="-0.04"/>
    <n v="-0.04"/>
    <n v="-0.75"/>
    <n v="-0.74"/>
    <s v="Fechamento"/>
  </r>
  <r>
    <n v="18229"/>
    <n v="5.9961000000000002"/>
    <n v="5.9977999999999998"/>
    <d v="2026-03-12T13:10:29"/>
    <x v="2"/>
    <n v="0.03"/>
    <n v="0.03"/>
    <n v="0.5"/>
    <n v="0.49"/>
    <s v="Fechamento"/>
  </r>
  <r>
    <n v="18230"/>
    <n v="6.0115999999999996"/>
    <n v="6.0128000000000004"/>
    <d v="2026-03-13T13:03:29"/>
    <x v="2"/>
    <n v="0.02"/>
    <n v="0.02"/>
    <n v="0.25"/>
    <n v="0.26"/>
    <s v="Fechamento"/>
  </r>
  <r>
    <n v="18231"/>
    <n v="6.0457999999999998"/>
    <n v="6.0476000000000001"/>
    <d v="2026-03-16T13:08:25"/>
    <x v="2"/>
    <n v="0.03"/>
    <n v="0.03"/>
    <n v="0.57999999999999996"/>
    <n v="0.56999999999999995"/>
    <s v="Fechamento"/>
  </r>
  <r>
    <n v="18232"/>
    <n v="5.9943"/>
    <n v="5.9961000000000002"/>
    <d v="2026-03-17T13:09:33"/>
    <x v="2"/>
    <n v="-0.05"/>
    <n v="-0.05"/>
    <n v="-0.85"/>
    <n v="-0.85"/>
    <s v="Fechamento"/>
  </r>
  <r>
    <n v="18233"/>
    <n v="5.9984000000000002"/>
    <n v="6.0002000000000004"/>
    <d v="2026-03-18T13:08:33"/>
    <x v="2"/>
    <n v="0"/>
    <n v="0"/>
    <n v="7.0000000000000007E-2"/>
    <n v="7.0000000000000007E-2"/>
    <s v="Fechamento"/>
  </r>
  <r>
    <n v="18234"/>
    <n v="6.0537000000000001"/>
    <n v="6.0553999999999997"/>
    <d v="2026-03-19T13:02:27"/>
    <x v="2"/>
    <n v="0.06"/>
    <n v="0.06"/>
    <n v="0.92"/>
    <n v="0.92"/>
    <s v="Fechamento"/>
  </r>
  <r>
    <n v="18235"/>
    <n v="6.0933999999999999"/>
    <n v="6.0952000000000002"/>
    <d v="2026-03-20T13:11:28"/>
    <x v="2"/>
    <n v="0.04"/>
    <n v="0.04"/>
    <n v="0.66"/>
    <n v="0.66"/>
    <s v="Fechamento"/>
  </r>
  <r>
    <n v="18236"/>
    <n v="6.0734000000000004"/>
    <n v="6.0757000000000003"/>
    <d v="2026-03-23T13:11:28"/>
    <x v="2"/>
    <n v="-0.02"/>
    <n v="-0.02"/>
    <n v="-0.32"/>
    <n v="-0.33"/>
    <s v="Fechamento"/>
  </r>
  <r>
    <n v="18237"/>
    <n v="6.0887000000000002"/>
    <n v="6.0903999999999998"/>
    <d v="2026-03-24T13:09:29"/>
    <x v="2"/>
    <n v="0.01"/>
    <n v="0.02"/>
    <n v="0.24"/>
    <n v="0.25"/>
    <s v="Fechamento"/>
  </r>
  <r>
    <n v="18238"/>
    <n v="6.0469999999999997"/>
    <n v="6.0481999999999996"/>
    <d v="2026-03-25T13:08:34"/>
    <x v="2"/>
    <n v="-0.04"/>
    <n v="-0.04"/>
    <n v="-0.69"/>
    <n v="-0.68"/>
    <s v="Fechamento"/>
  </r>
  <r>
    <n v="18239"/>
    <n v="6.0362"/>
    <n v="6.0373999999999999"/>
    <d v="2026-03-26T13:11:09"/>
    <x v="2"/>
    <n v="-0.01"/>
    <n v="-0.01"/>
    <n v="-0.18"/>
    <n v="-0.18"/>
    <s v="Fechamento"/>
  </r>
  <r>
    <n v="18240"/>
    <n v="6.0324999999999998"/>
    <n v="6.0336999999999996"/>
    <d v="2026-03-27T13:11:42"/>
    <x v="2"/>
    <n v="0"/>
    <n v="0"/>
    <n v="-0.06"/>
    <n v="-0.06"/>
    <s v="Fechamento"/>
  </r>
  <r>
    <n v="18241"/>
    <n v="5.9958"/>
    <n v="5.9969999999999999"/>
    <d v="2026-03-30T13:10:28"/>
    <x v="2"/>
    <n v="-0.04"/>
    <n v="-0.04"/>
    <n v="-0.61"/>
    <n v="-0.61"/>
    <s v="Fechamento"/>
  </r>
  <r>
    <n v="18242"/>
    <n v="6.01"/>
    <n v="6.0117000000000003"/>
    <d v="2026-03-31T13:04:23"/>
    <x v="2"/>
    <n v="0.01"/>
    <n v="0.01"/>
    <n v="0.25"/>
    <n v="0.24"/>
    <s v="Fechamento"/>
  </r>
  <r>
    <n v="18243"/>
    <n v="5.9923000000000002"/>
    <n v="5.9935"/>
    <d v="2026-04-01T13:06:28"/>
    <x v="3"/>
    <n v="-0.02"/>
    <n v="-0.02"/>
    <n v="-0.3"/>
    <n v="-0.28999999999999998"/>
    <s v="Fechamento"/>
  </r>
  <r>
    <n v="18244"/>
    <n v="5.9629000000000003"/>
    <n v="5.9641000000000002"/>
    <d v="2026-04-02T13:10:27"/>
    <x v="3"/>
    <n v="-0.03"/>
    <n v="-0.03"/>
    <n v="-0.49"/>
    <n v="-0.49"/>
    <s v="Fechamento"/>
  </r>
  <r>
    <n v="18245"/>
    <n v="5.9476000000000004"/>
    <n v="5.9499000000000004"/>
    <d v="2026-04-06T13:06:25"/>
    <x v="3"/>
    <n v="-0.01"/>
    <n v="-0.02"/>
    <n v="-0.24"/>
    <n v="-0.26"/>
    <s v="Fechamento"/>
  </r>
  <r>
    <n v="18246"/>
    <n v="5.9728000000000003"/>
    <n v="5.9740000000000002"/>
    <d v="2026-04-07T13:08:26"/>
    <x v="3"/>
    <n v="0.02"/>
    <n v="0.03"/>
    <n v="0.41"/>
    <n v="0.42"/>
    <s v="Fechamento"/>
  </r>
  <r>
    <n v="18247"/>
    <n v="5.9467999999999996"/>
    <n v="5.9485999999999999"/>
    <d v="2026-04-08T13:02:29"/>
    <x v="3"/>
    <n v="-0.03"/>
    <n v="-0.03"/>
    <n v="-0.43"/>
    <n v="-0.44"/>
    <s v="Fechamento"/>
  </r>
  <r>
    <n v="18248"/>
    <n v="5.9478999999999997"/>
    <n v="5.9490999999999996"/>
    <d v="2026-04-09T13:10:30"/>
    <x v="3"/>
    <n v="0"/>
    <n v="0"/>
    <n v="0.01"/>
    <n v="0.02"/>
    <s v="Fechamento"/>
  </r>
  <r>
    <n v="18249"/>
    <n v="5.8865999999999996"/>
    <n v="5.8883000000000001"/>
    <d v="2026-04-10T13:04:25"/>
    <x v="3"/>
    <n v="-0.06"/>
    <n v="-0.06"/>
    <n v="-1.02"/>
    <n v="-1.03"/>
    <s v="Fechamento"/>
  </r>
  <r>
    <n v="18250"/>
    <n v="5.8823999999999996"/>
    <n v="5.8841000000000001"/>
    <d v="2026-04-13T13:04:54"/>
    <x v="3"/>
    <n v="0"/>
    <n v="0"/>
    <n v="-7.0000000000000007E-2"/>
    <n v="-7.0000000000000007E-2"/>
    <s v="Fechamento"/>
  </r>
  <r>
    <n v="18251"/>
    <n v="5.8708999999999998"/>
    <n v="5.8726000000000003"/>
    <d v="2026-04-14T13:03:27"/>
    <x v="3"/>
    <n v="-0.01"/>
    <n v="-0.01"/>
    <n v="-0.2"/>
    <n v="-0.2"/>
    <s v="Fechamento"/>
  </r>
  <r>
    <n v="18252"/>
    <n v="5.8898000000000001"/>
    <n v="5.891"/>
    <d v="2026-04-15T13:06:26"/>
    <x v="3"/>
    <n v="0.02"/>
    <n v="0.02"/>
    <n v="0.31"/>
    <n v="0.32"/>
    <s v="Fechamento"/>
  </r>
  <r>
    <n v="18253"/>
    <n v="5.8906000000000001"/>
    <n v="5.8922999999999996"/>
    <d v="2026-04-16T13:03:29"/>
    <x v="3"/>
    <n v="0"/>
    <n v="0"/>
    <n v="0.02"/>
    <n v="0.01"/>
    <s v="Fechamento"/>
  </r>
  <r>
    <n v="18254"/>
    <n v="5.8632999999999997"/>
    <n v="5.8644999999999996"/>
    <d v="2026-04-17T13:09:27"/>
    <x v="3"/>
    <n v="-0.03"/>
    <n v="-0.03"/>
    <n v="-0.47"/>
    <n v="-0.46"/>
    <s v="Fechamento"/>
  </r>
  <r>
    <n v="18255"/>
    <n v="5.8728999999999996"/>
    <n v="5.8741000000000003"/>
    <d v="2026-04-20T13:02:26"/>
    <x v="3"/>
    <n v="0.01"/>
    <n v="0.01"/>
    <n v="0.16"/>
    <n v="0.16"/>
    <s v="Fechamento"/>
  </r>
  <r>
    <n v="18256"/>
    <n v="5.8151999999999999"/>
    <n v="5.8163999999999998"/>
    <d v="2026-04-22T13:11:28"/>
    <x v="3"/>
    <n v="-0.06"/>
    <n v="-0.06"/>
    <n v="-0.98"/>
    <n v="-0.98"/>
    <s v="Fechamento"/>
  </r>
  <r>
    <n v="18257"/>
    <n v="5.7968000000000002"/>
    <n v="5.7984999999999998"/>
    <d v="2026-04-23T13:03:26"/>
    <x v="3"/>
    <n v="-0.02"/>
    <n v="-0.02"/>
    <n v="-0.31"/>
    <n v="-0.32"/>
    <s v="Fechamento"/>
  </r>
  <r>
    <n v="18258"/>
    <n v="5.8674999999999997"/>
    <n v="5.8692000000000002"/>
    <d v="2026-04-24T13:06:16"/>
    <x v="3"/>
    <n v="7.0000000000000007E-2"/>
    <n v="7.0000000000000007E-2"/>
    <n v="1.22"/>
    <n v="1.22"/>
    <s v="Fechamento"/>
  </r>
  <r>
    <n v="18259"/>
    <n v="5.8291000000000004"/>
    <n v="5.8303000000000003"/>
    <d v="2026-04-27T13:06:14"/>
    <x v="3"/>
    <n v="-0.04"/>
    <n v="-0.04"/>
    <n v="-0.66"/>
    <n v="-0.65"/>
    <s v="Fechamento"/>
  </r>
  <r>
    <n v="18260"/>
    <n v="5.8419999999999996"/>
    <n v="5.8432000000000004"/>
    <d v="2026-04-28T13:10:26"/>
    <x v="3"/>
    <n v="0.01"/>
    <n v="0.01"/>
    <n v="0.22"/>
    <n v="0.22"/>
    <s v="Fechamento"/>
  </r>
  <r>
    <n v="18261"/>
    <n v="5.8445"/>
    <n v="5.8456999999999999"/>
    <d v="2026-04-29T13:11:25"/>
    <x v="3"/>
    <n v="0"/>
    <n v="0"/>
    <n v="0.04"/>
    <n v="0.04"/>
    <s v="Fechamento"/>
  </r>
  <r>
    <n v="18262"/>
    <n v="5.8498999999999999"/>
    <n v="5.8510999999999997"/>
    <d v="2026-04-30T13:06:28"/>
    <x v="3"/>
    <n v="0.01"/>
    <n v="0.01"/>
    <n v="0.09"/>
    <n v="0.09"/>
    <s v="Fechamento"/>
  </r>
  <r>
    <n v="18263"/>
    <n v="5.7995000000000001"/>
    <n v="5.8007"/>
    <d v="2026-05-04T13:09:26"/>
    <x v="4"/>
    <n v="-0.05"/>
    <n v="-0.05"/>
    <n v="-0.86"/>
    <n v="-0.86"/>
    <s v="Fechamento"/>
  </r>
  <r>
    <n v="18264"/>
    <n v="5.7636000000000003"/>
    <n v="5.7648000000000001"/>
    <d v="2026-05-05T13:04:26"/>
    <x v="4"/>
    <n v="-0.04"/>
    <n v="-0.04"/>
    <n v="-0.62"/>
    <n v="-0.62"/>
    <s v="Fechamento"/>
  </r>
  <r>
    <n v="18265"/>
    <n v="5.79"/>
    <n v="5.7911999999999999"/>
    <d v="2026-05-06T13:08:28"/>
    <x v="4"/>
    <n v="0.03"/>
    <n v="0.03"/>
    <n v="0.46"/>
    <n v="0.46"/>
    <s v="Fechamento"/>
  </r>
  <r>
    <n v="18266"/>
    <n v="5.7831999999999999"/>
    <n v="5.7843999999999998"/>
    <d v="2026-05-07T13:09:29"/>
    <x v="4"/>
    <n v="-0.01"/>
    <n v="-0.01"/>
    <n v="-0.12"/>
    <n v="-0.12"/>
    <s v="Fechamento"/>
  </r>
  <r>
    <n v="18267"/>
    <n v="5.7675000000000001"/>
    <n v="5.7690999999999999"/>
    <d v="2026-05-08T13:05:32"/>
    <x v="4"/>
    <n v="-0.02"/>
    <n v="-0.02"/>
    <n v="-0.26"/>
    <n v="-0.27"/>
    <s v="Fechamento"/>
  </r>
  <r>
    <n v="18268"/>
    <n v="5.7678000000000003"/>
    <n v="5.7694999999999999"/>
    <d v="2026-05-11T13:08:25"/>
    <x v="4"/>
    <n v="0"/>
    <n v="0"/>
    <n v="0.01"/>
    <n v="0.01"/>
    <s v="Fechamento"/>
  </r>
  <r>
    <n v="18269"/>
    <n v="5.7453000000000003"/>
    <n v="5.7465000000000002"/>
    <d v="2026-05-12T13:11:27"/>
    <x v="4"/>
    <n v="-0.02"/>
    <n v="-0.02"/>
    <n v="-0.4"/>
    <n v="-0.39"/>
    <s v="Fechamento"/>
  </r>
  <r>
    <n v="18270"/>
    <n v="5.7510000000000003"/>
    <n v="5.7522000000000002"/>
    <d v="2026-05-13T13:17:55"/>
    <x v="4"/>
    <n v="0.01"/>
    <n v="0.01"/>
    <n v="0.1"/>
    <n v="0.1"/>
    <s v="Fechamento"/>
  </r>
  <r>
    <n v="18271"/>
    <n v="5.8155000000000001"/>
    <n v="5.8167"/>
    <d v="2026-05-14T13:03:15"/>
    <x v="4"/>
    <n v="0.06"/>
    <n v="0.06"/>
    <n v="1.1200000000000001"/>
    <n v="1.1200000000000001"/>
    <s v="Fechamento"/>
  </r>
  <r>
    <n v="18272"/>
    <n v="5.8883000000000001"/>
    <n v="5.89"/>
    <d v="2026-05-15T13:08:27"/>
    <x v="4"/>
    <n v="7.0000000000000007E-2"/>
    <n v="7.0000000000000007E-2"/>
    <n v="1.26"/>
    <n v="1.25"/>
    <s v="Fechamento"/>
  </r>
  <r>
    <n v="18273"/>
    <n v="5.8341000000000003"/>
    <n v="5.8357999999999999"/>
    <d v="2026-05-18T13:04:26"/>
    <x v="4"/>
    <n v="-0.05"/>
    <n v="-0.05"/>
    <n v="-0.92"/>
    <n v="-0.92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30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36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30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2:B8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3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26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3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9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FC11C-9130-4AEE-986B-818AC8E367AA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24:B30" firstHeaderRow="1" firstDataRow="1" firstDataCol="1"/>
  <pivotFields count="11">
    <pivotField showAll="0"/>
    <pivotField showAll="0"/>
    <pivotField dataField="1" showAll="0"/>
    <pivotField numFmtId="22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in of cotacao_venda" fld="2" subtotal="min" baseField="0" baseItem="0" numFmtId="2"/>
  </dataFields>
  <formats count="1">
    <format dxfId="1">
      <pivotArea outline="0" collapsedLevelsAreSubtotals="1" fieldPosition="0"/>
    </format>
  </format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320B4F-45E1-4B38-92BE-34825267670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9" firstHeaderRow="1" firstDataRow="1" firstDataCol="1"/>
  <pivotFields count="11">
    <pivotField showAll="0"/>
    <pivotField showAll="0"/>
    <pivotField dataField="1" showAll="0"/>
    <pivotField numFmtId="22" showAll="0">
      <items count="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t="default"/>
      </items>
    </pivotField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ax of cotacao_venda" fld="2" subtotal="max" baseField="10" baseItem="1" numFmtId="2"/>
  </dataFields>
  <formats count="1">
    <format dxfId="2">
      <pivotArea outline="0" collapsedLevelsAreSubtotals="1" fieldPosition="0"/>
    </format>
  </format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93" totalsRowShown="0" headerRowDxfId="5">
  <autoFilter ref="A1:J93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4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93" totalsRowShown="0" headerRowDxfId="0">
  <autoFilter ref="A1:J93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3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6'&amp;@dataFinalCotacao='05-18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6'&amp;@dataFinalCotacao='05-18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S32"/>
  <sheetViews>
    <sheetView tabSelected="1" zoomScaleNormal="100" workbookViewId="0">
      <selection activeCell="R30" sqref="R30"/>
    </sheetView>
  </sheetViews>
  <sheetFormatPr defaultRowHeight="15" x14ac:dyDescent="0.25"/>
  <cols>
    <col min="2" max="2" width="16.7109375" customWidth="1"/>
    <col min="3" max="3" width="15.4257812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19" x14ac:dyDescent="0.25">
      <c r="P19" s="15"/>
      <c r="Q19" s="15"/>
      <c r="R19" s="20"/>
      <c r="S19" s="20"/>
    </row>
    <row r="22" spans="2:19" x14ac:dyDescent="0.25">
      <c r="B22" s="18" t="s">
        <v>12</v>
      </c>
      <c r="C22" s="19"/>
    </row>
    <row r="23" spans="2:19" x14ac:dyDescent="0.25">
      <c r="B23" s="5" t="s">
        <v>13</v>
      </c>
      <c r="C23" s="5" t="s">
        <v>10</v>
      </c>
    </row>
    <row r="24" spans="2:19" ht="15.75" thickBot="1" x14ac:dyDescent="0.3">
      <c r="B24" s="3">
        <f ca="1">DATE(YEAR(C24),1,1)</f>
        <v>46023</v>
      </c>
      <c r="C24" s="3">
        <f ca="1">TODAY()</f>
        <v>46160</v>
      </c>
    </row>
    <row r="25" spans="2:19" ht="16.5" thickTop="1" thickBot="1" x14ac:dyDescent="0.3">
      <c r="B25" s="2" t="s">
        <v>9</v>
      </c>
      <c r="C25" s="4" t="s">
        <v>26</v>
      </c>
    </row>
    <row r="26" spans="2:19" ht="15.75" thickTop="1" x14ac:dyDescent="0.25">
      <c r="C26" s="1"/>
    </row>
    <row r="28" spans="2:19" x14ac:dyDescent="0.25">
      <c r="B28" s="16" t="s">
        <v>11</v>
      </c>
      <c r="C28" s="17"/>
    </row>
    <row r="29" spans="2:19" x14ac:dyDescent="0.25">
      <c r="B29" s="5" t="s">
        <v>13</v>
      </c>
      <c r="C29" s="5" t="s">
        <v>10</v>
      </c>
    </row>
    <row r="30" spans="2:19" ht="15.75" thickBot="1" x14ac:dyDescent="0.3">
      <c r="B30" s="3">
        <f ca="1">DATE(YEAR(C30),1,1)</f>
        <v>46023</v>
      </c>
      <c r="C30" s="3">
        <f ca="1">TODAY()</f>
        <v>46160</v>
      </c>
    </row>
    <row r="31" spans="2:19" ht="16.5" thickTop="1" thickBot="1" x14ac:dyDescent="0.3">
      <c r="B31" s="2" t="s">
        <v>9</v>
      </c>
      <c r="C31" s="4" t="s">
        <v>25</v>
      </c>
    </row>
    <row r="32" spans="2:19" ht="15.75" thickTop="1" x14ac:dyDescent="0.25">
      <c r="C32" s="1"/>
    </row>
  </sheetData>
  <mergeCells count="3">
    <mergeCell ref="B28:C28"/>
    <mergeCell ref="B22:C22"/>
    <mergeCell ref="R19:S19"/>
  </mergeCells>
  <hyperlinks>
    <hyperlink ref="C31" r:id="rId1" display="https://olinda.bcb.gov.br/olinda/servico/PTAX/versao/v1/odata/CotacaoMoedaPeriodo(moeda=@moeda,dataInicial=@dataInicial,dataFinalCotacao=@dataFinalCotacao)?@moeda='USD'&amp;@dataInicial='01-01-2026'&amp;@dataFinalCotacao='05-18-2026'&amp;$top=1000&amp;$filter=tipoBoletim eq 'Fechamento'&amp;$orderby=dataHoraCotacao&amp;$format=json&amp;$select=cotacaoCompra,cotacaoVenda,dataHoraCotacao,tipoBoletim" xr:uid="{789CCFD0-B0EB-4463-A8EA-1EAC617B887B}"/>
    <hyperlink ref="C25" r:id="rId2" display="https://olinda.bcb.gov.br/olinda/servico/PTAX/versao/v1/odata/CotacaoMoedaPeriodo(moeda=@moeda,dataInicial=@dataInicial,dataFinalCotacao=@dataFinalCotacao)?@moeda='EUR'&amp;@dataInicial='01-01-2026'&amp;@dataFinalCotacao='05-18-2026'&amp;$top=1000&amp;$filter=tipoBoletim eq 'Fechamento'&amp;$orderby=dataHoraCotacao&amp;$format=json&amp;$select=cotacaoCompra,cotacaoVenda,dataHoraCotacao,tipoBoletim" xr:uid="{B6A61DD9-FF85-4908-B400-E4E5164650E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A70" workbookViewId="0">
      <selection activeCell="A2" sqref="A2:J93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18182</v>
      </c>
      <c r="B2">
        <v>6.3879999999999999</v>
      </c>
      <c r="C2">
        <v>6.3898000000000001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18183</v>
      </c>
      <c r="B3">
        <v>6.3605</v>
      </c>
      <c r="C3">
        <v>6.3617999999999997</v>
      </c>
      <c r="D3" s="13">
        <v>46027.548784722225</v>
      </c>
      <c r="E3" t="s">
        <v>17</v>
      </c>
      <c r="F3">
        <v>-0.03</v>
      </c>
      <c r="G3">
        <v>-0.03</v>
      </c>
      <c r="H3">
        <v>-0.44</v>
      </c>
      <c r="I3">
        <v>-0.43</v>
      </c>
      <c r="J3" t="s">
        <v>14</v>
      </c>
    </row>
    <row r="4" spans="1:10" x14ac:dyDescent="0.25">
      <c r="A4">
        <v>18184</v>
      </c>
      <c r="B4">
        <v>6.2908999999999997</v>
      </c>
      <c r="C4">
        <v>6.2920999999999996</v>
      </c>
      <c r="D4" s="13">
        <v>46028.550081018519</v>
      </c>
      <c r="E4" t="s">
        <v>17</v>
      </c>
      <c r="F4">
        <v>-7.0000000000000007E-2</v>
      </c>
      <c r="G4">
        <v>-7.0000000000000007E-2</v>
      </c>
      <c r="H4">
        <v>-1.1000000000000001</v>
      </c>
      <c r="I4">
        <v>-1.0900000000000001</v>
      </c>
      <c r="J4" t="s">
        <v>14</v>
      </c>
    </row>
    <row r="5" spans="1:10" x14ac:dyDescent="0.25">
      <c r="A5">
        <v>18185</v>
      </c>
      <c r="B5">
        <v>6.2972999999999999</v>
      </c>
      <c r="C5">
        <v>6.2991000000000001</v>
      </c>
      <c r="D5" s="13">
        <v>46029.54614583333</v>
      </c>
      <c r="E5" t="s">
        <v>17</v>
      </c>
      <c r="F5">
        <v>0.01</v>
      </c>
      <c r="G5">
        <v>0.01</v>
      </c>
      <c r="H5">
        <v>0.11</v>
      </c>
      <c r="I5">
        <v>0.1</v>
      </c>
      <c r="J5" t="s">
        <v>14</v>
      </c>
    </row>
    <row r="6" spans="1:10" x14ac:dyDescent="0.25">
      <c r="A6">
        <v>18186</v>
      </c>
      <c r="B6">
        <v>6.2820999999999998</v>
      </c>
      <c r="C6">
        <v>6.2838000000000003</v>
      </c>
      <c r="D6" s="13">
        <v>46030.54478009259</v>
      </c>
      <c r="E6" t="s">
        <v>17</v>
      </c>
      <c r="F6">
        <v>-0.02</v>
      </c>
      <c r="G6">
        <v>-0.02</v>
      </c>
      <c r="H6">
        <v>-0.24</v>
      </c>
      <c r="I6">
        <v>-0.24</v>
      </c>
      <c r="J6" t="s">
        <v>14</v>
      </c>
    </row>
    <row r="7" spans="1:10" x14ac:dyDescent="0.25">
      <c r="A7">
        <v>18187</v>
      </c>
      <c r="B7">
        <v>6.2507999999999999</v>
      </c>
      <c r="C7">
        <v>6.2526000000000002</v>
      </c>
      <c r="D7" s="13">
        <v>46031.548252314817</v>
      </c>
      <c r="E7" t="s">
        <v>17</v>
      </c>
      <c r="F7">
        <v>-0.03</v>
      </c>
      <c r="G7">
        <v>-0.03</v>
      </c>
      <c r="H7">
        <v>-0.5</v>
      </c>
      <c r="I7">
        <v>-0.5</v>
      </c>
      <c r="J7" t="s">
        <v>14</v>
      </c>
    </row>
    <row r="8" spans="1:10" x14ac:dyDescent="0.25">
      <c r="A8">
        <v>18188</v>
      </c>
      <c r="B8">
        <v>6.2789999999999999</v>
      </c>
      <c r="C8">
        <v>6.2801999999999998</v>
      </c>
      <c r="D8" s="13">
        <v>46034.54755787037</v>
      </c>
      <c r="E8" t="s">
        <v>17</v>
      </c>
      <c r="F8">
        <v>0.03</v>
      </c>
      <c r="G8">
        <v>0.03</v>
      </c>
      <c r="H8">
        <v>0.44</v>
      </c>
      <c r="I8">
        <v>0.45</v>
      </c>
      <c r="J8" t="s">
        <v>14</v>
      </c>
    </row>
    <row r="9" spans="1:10" x14ac:dyDescent="0.25">
      <c r="A9">
        <v>18189</v>
      </c>
      <c r="B9">
        <v>6.2633000000000001</v>
      </c>
      <c r="C9">
        <v>6.2651000000000003</v>
      </c>
      <c r="D9" s="13">
        <v>46035.547847222224</v>
      </c>
      <c r="E9" t="s">
        <v>17</v>
      </c>
      <c r="F9">
        <v>-0.02</v>
      </c>
      <c r="G9">
        <v>-0.02</v>
      </c>
      <c r="H9">
        <v>-0.24</v>
      </c>
      <c r="I9">
        <v>-0.25</v>
      </c>
      <c r="J9" t="s">
        <v>14</v>
      </c>
    </row>
    <row r="10" spans="1:10" x14ac:dyDescent="0.25">
      <c r="A10">
        <v>18190</v>
      </c>
      <c r="B10">
        <v>6.2713000000000001</v>
      </c>
      <c r="C10">
        <v>6.2729999999999997</v>
      </c>
      <c r="D10" s="13">
        <v>46036.544814814813</v>
      </c>
      <c r="E10" t="s">
        <v>17</v>
      </c>
      <c r="F10">
        <v>0.01</v>
      </c>
      <c r="G10">
        <v>0.01</v>
      </c>
      <c r="H10">
        <v>0.13</v>
      </c>
      <c r="I10">
        <v>0.13</v>
      </c>
      <c r="J10" t="s">
        <v>14</v>
      </c>
    </row>
    <row r="11" spans="1:10" x14ac:dyDescent="0.25">
      <c r="A11">
        <v>18191</v>
      </c>
      <c r="B11">
        <v>6.2465000000000002</v>
      </c>
      <c r="C11">
        <v>6.2477999999999998</v>
      </c>
      <c r="D11" s="13">
        <v>46037.545439814814</v>
      </c>
      <c r="E11" t="s">
        <v>17</v>
      </c>
      <c r="F11">
        <v>-0.03</v>
      </c>
      <c r="G11">
        <v>-0.02</v>
      </c>
      <c r="H11">
        <v>-0.4</v>
      </c>
      <c r="I11">
        <v>-0.4</v>
      </c>
      <c r="J11" t="s">
        <v>14</v>
      </c>
    </row>
    <row r="12" spans="1:10" x14ac:dyDescent="0.25">
      <c r="A12">
        <v>18192</v>
      </c>
      <c r="B12">
        <v>6.2366000000000001</v>
      </c>
      <c r="C12">
        <v>6.2384000000000004</v>
      </c>
      <c r="D12" s="13">
        <v>46038.544745370367</v>
      </c>
      <c r="E12" t="s">
        <v>17</v>
      </c>
      <c r="F12">
        <v>-0.01</v>
      </c>
      <c r="G12">
        <v>-0.01</v>
      </c>
      <c r="H12">
        <v>-0.15</v>
      </c>
      <c r="I12">
        <v>-0.16</v>
      </c>
      <c r="J12" t="s">
        <v>14</v>
      </c>
    </row>
    <row r="13" spans="1:10" x14ac:dyDescent="0.25">
      <c r="A13">
        <v>18193</v>
      </c>
      <c r="B13">
        <v>6.2439999999999998</v>
      </c>
      <c r="C13">
        <v>6.2457000000000003</v>
      </c>
      <c r="D13" s="13">
        <v>46041.546851851854</v>
      </c>
      <c r="E13" t="s">
        <v>17</v>
      </c>
      <c r="F13">
        <v>0.01</v>
      </c>
      <c r="G13">
        <v>0.01</v>
      </c>
      <c r="H13">
        <v>0.12</v>
      </c>
      <c r="I13">
        <v>0.12</v>
      </c>
      <c r="J13" t="s">
        <v>14</v>
      </c>
    </row>
    <row r="14" spans="1:10" x14ac:dyDescent="0.25">
      <c r="A14">
        <v>18194</v>
      </c>
      <c r="B14">
        <v>6.3071999999999999</v>
      </c>
      <c r="C14">
        <v>6.3085000000000004</v>
      </c>
      <c r="D14" s="13">
        <v>46042.543414351851</v>
      </c>
      <c r="E14" t="s">
        <v>17</v>
      </c>
      <c r="F14">
        <v>0.06</v>
      </c>
      <c r="G14">
        <v>0.06</v>
      </c>
      <c r="H14">
        <v>1.01</v>
      </c>
      <c r="I14">
        <v>1.01</v>
      </c>
      <c r="J14" t="s">
        <v>14</v>
      </c>
    </row>
    <row r="15" spans="1:10" x14ac:dyDescent="0.25">
      <c r="A15">
        <v>18195</v>
      </c>
      <c r="B15">
        <v>6.2439</v>
      </c>
      <c r="C15">
        <v>6.2450999999999999</v>
      </c>
      <c r="D15" s="13">
        <v>46043.54482638889</v>
      </c>
      <c r="E15" t="s">
        <v>17</v>
      </c>
      <c r="F15">
        <v>-0.06</v>
      </c>
      <c r="G15">
        <v>-0.06</v>
      </c>
      <c r="H15">
        <v>-1</v>
      </c>
      <c r="I15">
        <v>-1</v>
      </c>
      <c r="J15" t="s">
        <v>14</v>
      </c>
    </row>
    <row r="16" spans="1:10" x14ac:dyDescent="0.25">
      <c r="A16">
        <v>18196</v>
      </c>
      <c r="B16">
        <v>6.2321999999999997</v>
      </c>
      <c r="C16">
        <v>6.2333999999999996</v>
      </c>
      <c r="D16" s="13">
        <v>46044.5468287037</v>
      </c>
      <c r="E16" t="s">
        <v>17</v>
      </c>
      <c r="F16">
        <v>-0.01</v>
      </c>
      <c r="G16">
        <v>-0.01</v>
      </c>
      <c r="H16">
        <v>-0.19</v>
      </c>
      <c r="I16">
        <v>-0.19</v>
      </c>
      <c r="J16" t="s">
        <v>14</v>
      </c>
    </row>
    <row r="17" spans="1:10" x14ac:dyDescent="0.25">
      <c r="A17">
        <v>18197</v>
      </c>
      <c r="B17">
        <v>6.2161999999999997</v>
      </c>
      <c r="C17">
        <v>6.218</v>
      </c>
      <c r="D17" s="13">
        <v>46045.548217592594</v>
      </c>
      <c r="E17" t="s">
        <v>17</v>
      </c>
      <c r="F17">
        <v>-0.02</v>
      </c>
      <c r="G17">
        <v>-0.02</v>
      </c>
      <c r="H17">
        <v>-0.25</v>
      </c>
      <c r="I17">
        <v>-0.26</v>
      </c>
      <c r="J17" t="s">
        <v>14</v>
      </c>
    </row>
    <row r="18" spans="1:10" x14ac:dyDescent="0.25">
      <c r="A18">
        <v>18198</v>
      </c>
      <c r="B18">
        <v>6.2746000000000004</v>
      </c>
      <c r="C18">
        <v>6.2763</v>
      </c>
      <c r="D18" s="13">
        <v>46048.547951388886</v>
      </c>
      <c r="E18" t="s">
        <v>17</v>
      </c>
      <c r="F18">
        <v>0.06</v>
      </c>
      <c r="G18">
        <v>0.06</v>
      </c>
      <c r="H18">
        <v>0.94</v>
      </c>
      <c r="I18">
        <v>0.94</v>
      </c>
      <c r="J18" t="s">
        <v>14</v>
      </c>
    </row>
    <row r="19" spans="1:10" x14ac:dyDescent="0.25">
      <c r="A19">
        <v>18199</v>
      </c>
      <c r="B19">
        <v>6.2601000000000004</v>
      </c>
      <c r="C19">
        <v>6.2618999999999998</v>
      </c>
      <c r="D19" s="13">
        <v>46049.547523148147</v>
      </c>
      <c r="E19" t="s">
        <v>17</v>
      </c>
      <c r="F19">
        <v>-0.01</v>
      </c>
      <c r="G19">
        <v>-0.01</v>
      </c>
      <c r="H19">
        <v>-0.23</v>
      </c>
      <c r="I19">
        <v>-0.23</v>
      </c>
      <c r="J19" t="s">
        <v>14</v>
      </c>
    </row>
    <row r="20" spans="1:10" x14ac:dyDescent="0.25">
      <c r="A20">
        <v>18200</v>
      </c>
      <c r="B20">
        <v>6.1908000000000003</v>
      </c>
      <c r="C20">
        <v>6.1925999999999997</v>
      </c>
      <c r="D20" s="13">
        <v>46050.54892361111</v>
      </c>
      <c r="E20" t="s">
        <v>17</v>
      </c>
      <c r="F20">
        <v>-7.0000000000000007E-2</v>
      </c>
      <c r="G20">
        <v>-7.0000000000000007E-2</v>
      </c>
      <c r="H20">
        <v>-1.1100000000000001</v>
      </c>
      <c r="I20">
        <v>-1.1100000000000001</v>
      </c>
      <c r="J20" t="s">
        <v>14</v>
      </c>
    </row>
    <row r="21" spans="1:10" x14ac:dyDescent="0.25">
      <c r="A21">
        <v>18201</v>
      </c>
      <c r="B21">
        <v>6.1966000000000001</v>
      </c>
      <c r="C21">
        <v>6.1984000000000004</v>
      </c>
      <c r="D21" s="13">
        <v>46051.547488425924</v>
      </c>
      <c r="E21" t="s">
        <v>17</v>
      </c>
      <c r="F21">
        <v>0.01</v>
      </c>
      <c r="G21">
        <v>0.01</v>
      </c>
      <c r="H21">
        <v>0.09</v>
      </c>
      <c r="I21">
        <v>0.09</v>
      </c>
      <c r="J21" t="s">
        <v>14</v>
      </c>
    </row>
    <row r="22" spans="1:10" x14ac:dyDescent="0.25">
      <c r="A22">
        <v>18202</v>
      </c>
      <c r="B22">
        <v>6.22</v>
      </c>
      <c r="C22">
        <v>6.2217000000000002</v>
      </c>
      <c r="D22" s="13">
        <v>46052.545474537037</v>
      </c>
      <c r="E22" t="s">
        <v>17</v>
      </c>
      <c r="F22">
        <v>0.02</v>
      </c>
      <c r="G22">
        <v>0.02</v>
      </c>
      <c r="H22">
        <v>0.38</v>
      </c>
      <c r="I22">
        <v>0.38</v>
      </c>
      <c r="J22" t="s">
        <v>14</v>
      </c>
    </row>
    <row r="23" spans="1:10" x14ac:dyDescent="0.25">
      <c r="A23">
        <v>18203</v>
      </c>
      <c r="B23">
        <v>6.2004000000000001</v>
      </c>
      <c r="C23">
        <v>6.2016</v>
      </c>
      <c r="D23" s="13">
        <v>46055.546851851854</v>
      </c>
      <c r="E23" t="s">
        <v>18</v>
      </c>
      <c r="F23">
        <v>-0.02</v>
      </c>
      <c r="G23">
        <v>-0.02</v>
      </c>
      <c r="H23">
        <v>-0.32</v>
      </c>
      <c r="I23">
        <v>-0.32</v>
      </c>
      <c r="J23" t="s">
        <v>14</v>
      </c>
    </row>
    <row r="24" spans="1:10" x14ac:dyDescent="0.25">
      <c r="A24">
        <v>18204</v>
      </c>
      <c r="B24">
        <v>6.1694000000000004</v>
      </c>
      <c r="C24">
        <v>6.1711999999999998</v>
      </c>
      <c r="D24" s="13">
        <v>46056.549618055556</v>
      </c>
      <c r="E24" t="s">
        <v>18</v>
      </c>
      <c r="F24">
        <v>-0.03</v>
      </c>
      <c r="G24">
        <v>-0.03</v>
      </c>
      <c r="H24">
        <v>-0.49</v>
      </c>
      <c r="I24">
        <v>-0.5</v>
      </c>
      <c r="J24" t="s">
        <v>14</v>
      </c>
    </row>
    <row r="25" spans="1:10" x14ac:dyDescent="0.25">
      <c r="A25">
        <v>18205</v>
      </c>
      <c r="B25">
        <v>6.1749999999999998</v>
      </c>
      <c r="C25">
        <v>6.1768000000000001</v>
      </c>
      <c r="D25" s="13">
        <v>46057.548946759256</v>
      </c>
      <c r="E25" t="s">
        <v>18</v>
      </c>
      <c r="F25">
        <v>0.01</v>
      </c>
      <c r="G25">
        <v>0.01</v>
      </c>
      <c r="H25">
        <v>0.09</v>
      </c>
      <c r="I25">
        <v>0.09</v>
      </c>
      <c r="J25" t="s">
        <v>14</v>
      </c>
    </row>
    <row r="26" spans="1:10" x14ac:dyDescent="0.25">
      <c r="A26">
        <v>18206</v>
      </c>
      <c r="B26">
        <v>6.1985000000000001</v>
      </c>
      <c r="C26">
        <v>6.2001999999999997</v>
      </c>
      <c r="D26" s="13">
        <v>46058.545474537037</v>
      </c>
      <c r="E26" t="s">
        <v>18</v>
      </c>
      <c r="F26">
        <v>0.02</v>
      </c>
      <c r="G26">
        <v>0.02</v>
      </c>
      <c r="H26">
        <v>0.38</v>
      </c>
      <c r="I26">
        <v>0.38</v>
      </c>
      <c r="J26" t="s">
        <v>14</v>
      </c>
    </row>
    <row r="27" spans="1:10" x14ac:dyDescent="0.25">
      <c r="A27">
        <v>18207</v>
      </c>
      <c r="B27">
        <v>6.1855000000000002</v>
      </c>
      <c r="C27">
        <v>6.1867000000000001</v>
      </c>
      <c r="D27" s="13">
        <v>46059.54892361111</v>
      </c>
      <c r="E27" t="s">
        <v>18</v>
      </c>
      <c r="F27">
        <v>-0.01</v>
      </c>
      <c r="G27">
        <v>-0.01</v>
      </c>
      <c r="H27">
        <v>-0.22</v>
      </c>
      <c r="I27">
        <v>-0.21</v>
      </c>
      <c r="J27" t="s">
        <v>14</v>
      </c>
    </row>
    <row r="28" spans="1:10" x14ac:dyDescent="0.25">
      <c r="A28">
        <v>18208</v>
      </c>
      <c r="B28">
        <v>6.1867000000000001</v>
      </c>
      <c r="C28">
        <v>6.1879999999999997</v>
      </c>
      <c r="D28" s="13">
        <v>46062.548229166663</v>
      </c>
      <c r="E28" t="s">
        <v>18</v>
      </c>
      <c r="F28">
        <v>0</v>
      </c>
      <c r="G28">
        <v>0</v>
      </c>
      <c r="H28">
        <v>0.02</v>
      </c>
      <c r="I28">
        <v>0.02</v>
      </c>
      <c r="J28" t="s">
        <v>14</v>
      </c>
    </row>
    <row r="29" spans="1:10" x14ac:dyDescent="0.25">
      <c r="A29">
        <v>18209</v>
      </c>
      <c r="B29">
        <v>6.1965000000000003</v>
      </c>
      <c r="C29">
        <v>6.1982999999999997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0.17</v>
      </c>
      <c r="I29">
        <v>0.16</v>
      </c>
      <c r="J29" t="s">
        <v>14</v>
      </c>
    </row>
    <row r="30" spans="1:10" x14ac:dyDescent="0.25">
      <c r="A30">
        <v>18210</v>
      </c>
      <c r="B30">
        <v>6.1459999999999999</v>
      </c>
      <c r="C30">
        <v>6.1477000000000004</v>
      </c>
      <c r="D30" s="13">
        <v>46064.544074074074</v>
      </c>
      <c r="E30" t="s">
        <v>18</v>
      </c>
      <c r="F30">
        <v>-0.05</v>
      </c>
      <c r="G30">
        <v>-0.05</v>
      </c>
      <c r="H30">
        <v>-0.82</v>
      </c>
      <c r="I30">
        <v>-0.81</v>
      </c>
      <c r="J30" t="s">
        <v>14</v>
      </c>
    </row>
    <row r="31" spans="1:10" x14ac:dyDescent="0.25">
      <c r="A31">
        <v>18211</v>
      </c>
      <c r="B31">
        <v>6.1406999999999998</v>
      </c>
      <c r="C31">
        <v>6.1425000000000001</v>
      </c>
      <c r="D31" s="13">
        <v>46065.54488425926</v>
      </c>
      <c r="E31" t="s">
        <v>18</v>
      </c>
      <c r="F31">
        <v>-0.01</v>
      </c>
      <c r="G31">
        <v>-0.01</v>
      </c>
      <c r="H31">
        <v>-0.08</v>
      </c>
      <c r="I31">
        <v>-0.09</v>
      </c>
      <c r="J31" t="s">
        <v>14</v>
      </c>
    </row>
    <row r="32" spans="1:10" x14ac:dyDescent="0.25">
      <c r="A32">
        <v>18212</v>
      </c>
      <c r="B32">
        <v>6.1943999999999999</v>
      </c>
      <c r="C32">
        <v>6.1955999999999998</v>
      </c>
      <c r="D32" s="13">
        <v>46066.544768518521</v>
      </c>
      <c r="E32" t="s">
        <v>18</v>
      </c>
      <c r="F32">
        <v>0.05</v>
      </c>
      <c r="G32">
        <v>0.05</v>
      </c>
      <c r="H32">
        <v>0.86</v>
      </c>
      <c r="I32">
        <v>0.87</v>
      </c>
      <c r="J32" t="s">
        <v>14</v>
      </c>
    </row>
    <row r="33" spans="1:10" x14ac:dyDescent="0.25">
      <c r="A33">
        <v>18213</v>
      </c>
      <c r="B33">
        <v>6.1733000000000002</v>
      </c>
      <c r="C33">
        <v>6.1745999999999999</v>
      </c>
      <c r="D33" s="13">
        <v>46071.653113425928</v>
      </c>
      <c r="E33" t="s">
        <v>18</v>
      </c>
      <c r="F33">
        <v>-0.02</v>
      </c>
      <c r="G33">
        <v>-0.02</v>
      </c>
      <c r="H33">
        <v>-0.34</v>
      </c>
      <c r="I33">
        <v>-0.34</v>
      </c>
      <c r="J33" t="s">
        <v>14</v>
      </c>
    </row>
    <row r="34" spans="1:10" x14ac:dyDescent="0.25">
      <c r="A34">
        <v>18214</v>
      </c>
      <c r="B34">
        <v>6.1456</v>
      </c>
      <c r="C34">
        <v>6.1475</v>
      </c>
      <c r="D34" s="13">
        <v>46072.549618055556</v>
      </c>
      <c r="E34" t="s">
        <v>18</v>
      </c>
      <c r="F34">
        <v>-0.03</v>
      </c>
      <c r="G34">
        <v>-0.03</v>
      </c>
      <c r="H34">
        <v>-0.44</v>
      </c>
      <c r="I34">
        <v>-0.45</v>
      </c>
      <c r="J34" t="s">
        <v>14</v>
      </c>
    </row>
    <row r="35" spans="1:10" x14ac:dyDescent="0.25">
      <c r="A35">
        <v>18215</v>
      </c>
      <c r="B35">
        <v>6.1292</v>
      </c>
      <c r="C35">
        <v>6.1310000000000002</v>
      </c>
      <c r="D35" s="13">
        <v>46073.543356481481</v>
      </c>
      <c r="E35" t="s">
        <v>18</v>
      </c>
      <c r="F35">
        <v>-0.02</v>
      </c>
      <c r="G35">
        <v>-0.02</v>
      </c>
      <c r="H35">
        <v>-0.27</v>
      </c>
      <c r="I35">
        <v>-0.27</v>
      </c>
      <c r="J35" t="s">
        <v>14</v>
      </c>
    </row>
    <row r="36" spans="1:10" x14ac:dyDescent="0.25">
      <c r="A36">
        <v>18216</v>
      </c>
      <c r="B36">
        <v>6.0891000000000002</v>
      </c>
      <c r="C36">
        <v>6.0903</v>
      </c>
      <c r="D36" s="13">
        <v>46076.543379629627</v>
      </c>
      <c r="E36" t="s">
        <v>18</v>
      </c>
      <c r="F36">
        <v>-0.04</v>
      </c>
      <c r="G36">
        <v>-0.04</v>
      </c>
      <c r="H36">
        <v>-0.66</v>
      </c>
      <c r="I36">
        <v>-0.65</v>
      </c>
      <c r="J36" t="s">
        <v>14</v>
      </c>
    </row>
    <row r="37" spans="1:10" x14ac:dyDescent="0.25">
      <c r="A37">
        <v>18217</v>
      </c>
      <c r="B37">
        <v>6.0827999999999998</v>
      </c>
      <c r="C37">
        <v>6.0845000000000002</v>
      </c>
      <c r="D37" s="13">
        <v>46077.54478009259</v>
      </c>
      <c r="E37" t="s">
        <v>18</v>
      </c>
      <c r="F37">
        <v>-0.01</v>
      </c>
      <c r="G37">
        <v>-0.01</v>
      </c>
      <c r="H37">
        <v>-0.1</v>
      </c>
      <c r="I37">
        <v>-0.1</v>
      </c>
      <c r="J37" t="s">
        <v>14</v>
      </c>
    </row>
    <row r="38" spans="1:10" x14ac:dyDescent="0.25">
      <c r="A38">
        <v>18218</v>
      </c>
      <c r="B38">
        <v>6.0697000000000001</v>
      </c>
      <c r="C38">
        <v>6.0709</v>
      </c>
      <c r="D38" s="13">
        <v>46078.54546296296</v>
      </c>
      <c r="E38" t="s">
        <v>18</v>
      </c>
      <c r="F38">
        <v>-0.01</v>
      </c>
      <c r="G38">
        <v>-0.01</v>
      </c>
      <c r="H38">
        <v>-0.22</v>
      </c>
      <c r="I38">
        <v>-0.22</v>
      </c>
      <c r="J38" t="s">
        <v>14</v>
      </c>
    </row>
    <row r="39" spans="1:10" x14ac:dyDescent="0.25">
      <c r="A39">
        <v>18219</v>
      </c>
      <c r="B39">
        <v>6.0613000000000001</v>
      </c>
      <c r="C39">
        <v>6.0631000000000004</v>
      </c>
      <c r="D39" s="13">
        <v>46079.546215277776</v>
      </c>
      <c r="E39" t="s">
        <v>18</v>
      </c>
      <c r="F39">
        <v>-0.01</v>
      </c>
      <c r="G39">
        <v>-0.01</v>
      </c>
      <c r="H39">
        <v>-0.13</v>
      </c>
      <c r="I39">
        <v>-0.14000000000000001</v>
      </c>
      <c r="J39" t="s">
        <v>14</v>
      </c>
    </row>
    <row r="40" spans="1:10" x14ac:dyDescent="0.25">
      <c r="A40">
        <v>18220</v>
      </c>
      <c r="B40">
        <v>6.0762</v>
      </c>
      <c r="C40">
        <v>6.0795000000000003</v>
      </c>
      <c r="D40" s="13">
        <v>46080.543368055558</v>
      </c>
      <c r="E40" t="s">
        <v>18</v>
      </c>
      <c r="F40">
        <v>0.02</v>
      </c>
      <c r="G40">
        <v>0.01</v>
      </c>
      <c r="H40">
        <v>0.27</v>
      </c>
      <c r="I40">
        <v>0.25</v>
      </c>
      <c r="J40" t="s">
        <v>14</v>
      </c>
    </row>
    <row r="41" spans="1:10" x14ac:dyDescent="0.25">
      <c r="A41">
        <v>18221</v>
      </c>
      <c r="B41">
        <v>6.0724999999999998</v>
      </c>
      <c r="C41">
        <v>6.0742000000000003</v>
      </c>
      <c r="D41" s="13">
        <v>46083.548217592594</v>
      </c>
      <c r="E41" t="s">
        <v>19</v>
      </c>
      <c r="F41">
        <v>-0.01</v>
      </c>
      <c r="G41">
        <v>0</v>
      </c>
      <c r="H41">
        <v>-0.09</v>
      </c>
      <c r="I41">
        <v>-0.06</v>
      </c>
      <c r="J41" t="s">
        <v>14</v>
      </c>
    </row>
    <row r="42" spans="1:10" x14ac:dyDescent="0.25">
      <c r="A42">
        <v>18222</v>
      </c>
      <c r="B42">
        <v>6.1180000000000003</v>
      </c>
      <c r="C42">
        <v>6.1196999999999999</v>
      </c>
      <c r="D42" s="13">
        <v>46084.548935185187</v>
      </c>
      <c r="E42" t="s">
        <v>19</v>
      </c>
      <c r="F42">
        <v>0.05</v>
      </c>
      <c r="G42">
        <v>0.05</v>
      </c>
      <c r="H42">
        <v>0.75</v>
      </c>
      <c r="I42">
        <v>0.75</v>
      </c>
      <c r="J42" t="s">
        <v>14</v>
      </c>
    </row>
    <row r="43" spans="1:10" x14ac:dyDescent="0.25">
      <c r="A43">
        <v>18223</v>
      </c>
      <c r="B43">
        <v>6.0621999999999998</v>
      </c>
      <c r="C43">
        <v>6.0639000000000003</v>
      </c>
      <c r="D43" s="13">
        <v>46085.546840277777</v>
      </c>
      <c r="E43" t="s">
        <v>19</v>
      </c>
      <c r="F43">
        <v>-0.06</v>
      </c>
      <c r="G43">
        <v>-0.06</v>
      </c>
      <c r="H43">
        <v>-0.91</v>
      </c>
      <c r="I43">
        <v>-0.91</v>
      </c>
      <c r="J43" t="s">
        <v>14</v>
      </c>
    </row>
    <row r="44" spans="1:10" x14ac:dyDescent="0.25">
      <c r="A44">
        <v>18224</v>
      </c>
      <c r="B44">
        <v>6.0736999999999997</v>
      </c>
      <c r="C44">
        <v>6.0749000000000004</v>
      </c>
      <c r="D44" s="13">
        <v>46086.54409722222</v>
      </c>
      <c r="E44" t="s">
        <v>19</v>
      </c>
      <c r="F44">
        <v>0.01</v>
      </c>
      <c r="G44">
        <v>0.01</v>
      </c>
      <c r="H44">
        <v>0.18</v>
      </c>
      <c r="I44">
        <v>0.19</v>
      </c>
      <c r="J44" t="s">
        <v>14</v>
      </c>
    </row>
    <row r="45" spans="1:10" x14ac:dyDescent="0.25">
      <c r="A45">
        <v>18225</v>
      </c>
      <c r="B45">
        <v>6.1219999999999999</v>
      </c>
      <c r="C45">
        <v>6.1238000000000001</v>
      </c>
      <c r="D45" s="13">
        <v>46087.548935185187</v>
      </c>
      <c r="E45" t="s">
        <v>19</v>
      </c>
      <c r="F45">
        <v>0.05</v>
      </c>
      <c r="G45">
        <v>0.05</v>
      </c>
      <c r="H45">
        <v>0.8</v>
      </c>
      <c r="I45">
        <v>0.8</v>
      </c>
      <c r="J45" t="s">
        <v>14</v>
      </c>
    </row>
    <row r="46" spans="1:10" x14ac:dyDescent="0.25">
      <c r="A46">
        <v>18226</v>
      </c>
      <c r="B46">
        <v>6.0433000000000003</v>
      </c>
      <c r="C46">
        <v>6.0445000000000002</v>
      </c>
      <c r="D46" s="13">
        <v>46090.548935185187</v>
      </c>
      <c r="E46" t="s">
        <v>19</v>
      </c>
      <c r="F46">
        <v>-0.08</v>
      </c>
      <c r="G46">
        <v>-0.08</v>
      </c>
      <c r="H46">
        <v>-1.29</v>
      </c>
      <c r="I46">
        <v>-1.29</v>
      </c>
      <c r="J46" t="s">
        <v>14</v>
      </c>
    </row>
    <row r="47" spans="1:10" x14ac:dyDescent="0.25">
      <c r="A47">
        <v>18227</v>
      </c>
      <c r="B47">
        <v>6.0111999999999997</v>
      </c>
      <c r="C47">
        <v>6.0129000000000001</v>
      </c>
      <c r="D47" s="13">
        <v>46091.548217592594</v>
      </c>
      <c r="E47" t="s">
        <v>19</v>
      </c>
      <c r="F47">
        <v>-0.03</v>
      </c>
      <c r="G47">
        <v>-0.03</v>
      </c>
      <c r="H47">
        <v>-0.52</v>
      </c>
      <c r="I47">
        <v>-0.53</v>
      </c>
      <c r="J47" t="s">
        <v>14</v>
      </c>
    </row>
    <row r="48" spans="1:10" x14ac:dyDescent="0.25">
      <c r="A48">
        <v>18228</v>
      </c>
      <c r="B48">
        <v>5.9668999999999999</v>
      </c>
      <c r="C48">
        <v>5.9680999999999997</v>
      </c>
      <c r="D48" s="13">
        <v>46092.544745370367</v>
      </c>
      <c r="E48" t="s">
        <v>19</v>
      </c>
      <c r="F48">
        <v>-0.04</v>
      </c>
      <c r="G48">
        <v>-0.04</v>
      </c>
      <c r="H48">
        <v>-0.75</v>
      </c>
      <c r="I48">
        <v>-0.74</v>
      </c>
      <c r="J48" t="s">
        <v>14</v>
      </c>
    </row>
    <row r="49" spans="1:10" x14ac:dyDescent="0.25">
      <c r="A49">
        <v>18229</v>
      </c>
      <c r="B49">
        <v>5.9961000000000002</v>
      </c>
      <c r="C49">
        <v>5.9977999999999998</v>
      </c>
      <c r="D49" s="13">
        <v>46093.548946759256</v>
      </c>
      <c r="E49" t="s">
        <v>19</v>
      </c>
      <c r="F49">
        <v>0.03</v>
      </c>
      <c r="G49">
        <v>0.03</v>
      </c>
      <c r="H49">
        <v>0.5</v>
      </c>
      <c r="I49">
        <v>0.49</v>
      </c>
      <c r="J49" t="s">
        <v>14</v>
      </c>
    </row>
    <row r="50" spans="1:10" x14ac:dyDescent="0.25">
      <c r="A50">
        <v>18230</v>
      </c>
      <c r="B50">
        <v>6.0115999999999996</v>
      </c>
      <c r="C50">
        <v>6.0128000000000004</v>
      </c>
      <c r="D50" s="13">
        <v>46094.544085648151</v>
      </c>
      <c r="E50" t="s">
        <v>19</v>
      </c>
      <c r="F50">
        <v>0.02</v>
      </c>
      <c r="G50">
        <v>0.02</v>
      </c>
      <c r="H50">
        <v>0.25</v>
      </c>
      <c r="I50">
        <v>0.26</v>
      </c>
      <c r="J50" t="s">
        <v>14</v>
      </c>
    </row>
    <row r="51" spans="1:10" x14ac:dyDescent="0.25">
      <c r="A51">
        <v>18231</v>
      </c>
      <c r="B51">
        <v>6.0457999999999998</v>
      </c>
      <c r="C51">
        <v>6.0476000000000001</v>
      </c>
      <c r="D51" s="13">
        <v>46097.547511574077</v>
      </c>
      <c r="E51" t="s">
        <v>19</v>
      </c>
      <c r="F51">
        <v>0.03</v>
      </c>
      <c r="G51">
        <v>0.03</v>
      </c>
      <c r="H51">
        <v>0.57999999999999996</v>
      </c>
      <c r="I51">
        <v>0.56999999999999995</v>
      </c>
      <c r="J51" t="s">
        <v>14</v>
      </c>
    </row>
    <row r="52" spans="1:10" x14ac:dyDescent="0.25">
      <c r="A52">
        <v>18232</v>
      </c>
      <c r="B52">
        <v>5.9943</v>
      </c>
      <c r="C52">
        <v>5.9961000000000002</v>
      </c>
      <c r="D52" s="13">
        <v>46098.548298611109</v>
      </c>
      <c r="E52" t="s">
        <v>19</v>
      </c>
      <c r="F52">
        <v>-0.05</v>
      </c>
      <c r="G52">
        <v>-0.05</v>
      </c>
      <c r="H52">
        <v>-0.85</v>
      </c>
      <c r="I52">
        <v>-0.85</v>
      </c>
      <c r="J52" t="s">
        <v>14</v>
      </c>
    </row>
    <row r="53" spans="1:10" x14ac:dyDescent="0.25">
      <c r="A53">
        <v>18233</v>
      </c>
      <c r="B53">
        <v>5.9984000000000002</v>
      </c>
      <c r="C53">
        <v>6.0002000000000004</v>
      </c>
      <c r="D53" s="13">
        <v>46099.54760416667</v>
      </c>
      <c r="E53" t="s">
        <v>19</v>
      </c>
      <c r="F53">
        <v>0</v>
      </c>
      <c r="G53">
        <v>0</v>
      </c>
      <c r="H53">
        <v>7.0000000000000007E-2</v>
      </c>
      <c r="I53">
        <v>7.0000000000000007E-2</v>
      </c>
      <c r="J53" t="s">
        <v>14</v>
      </c>
    </row>
    <row r="54" spans="1:10" x14ac:dyDescent="0.25">
      <c r="A54">
        <v>18234</v>
      </c>
      <c r="B54">
        <v>6.0537000000000001</v>
      </c>
      <c r="C54">
        <v>6.0553999999999997</v>
      </c>
      <c r="D54" s="13">
        <v>46100.543368055558</v>
      </c>
      <c r="E54" t="s">
        <v>19</v>
      </c>
      <c r="F54">
        <v>0.06</v>
      </c>
      <c r="G54">
        <v>0.06</v>
      </c>
      <c r="H54">
        <v>0.92</v>
      </c>
      <c r="I54">
        <v>0.92</v>
      </c>
      <c r="J54" t="s">
        <v>14</v>
      </c>
    </row>
    <row r="55" spans="1:10" x14ac:dyDescent="0.25">
      <c r="A55">
        <v>18235</v>
      </c>
      <c r="B55">
        <v>6.0933999999999999</v>
      </c>
      <c r="C55">
        <v>6.0952000000000002</v>
      </c>
      <c r="D55" s="13">
        <v>46101.549629629626</v>
      </c>
      <c r="E55" t="s">
        <v>19</v>
      </c>
      <c r="F55">
        <v>0.04</v>
      </c>
      <c r="G55">
        <v>0.04</v>
      </c>
      <c r="H55">
        <v>0.66</v>
      </c>
      <c r="I55">
        <v>0.66</v>
      </c>
      <c r="J55" t="s">
        <v>14</v>
      </c>
    </row>
    <row r="56" spans="1:10" x14ac:dyDescent="0.25">
      <c r="A56">
        <v>18236</v>
      </c>
      <c r="B56">
        <v>6.0734000000000004</v>
      </c>
      <c r="C56">
        <v>6.0757000000000003</v>
      </c>
      <c r="D56" s="13">
        <v>46104.549629629626</v>
      </c>
      <c r="E56" t="s">
        <v>19</v>
      </c>
      <c r="F56">
        <v>-0.02</v>
      </c>
      <c r="G56">
        <v>-0.02</v>
      </c>
      <c r="H56">
        <v>-0.32</v>
      </c>
      <c r="I56">
        <v>-0.33</v>
      </c>
      <c r="J56" t="s">
        <v>14</v>
      </c>
    </row>
    <row r="57" spans="1:10" x14ac:dyDescent="0.25">
      <c r="A57">
        <v>18237</v>
      </c>
      <c r="B57">
        <v>6.0887000000000002</v>
      </c>
      <c r="C57">
        <v>6.0903999999999998</v>
      </c>
      <c r="D57" s="13">
        <v>46105.548252314817</v>
      </c>
      <c r="E57" t="s">
        <v>19</v>
      </c>
      <c r="F57">
        <v>0.01</v>
      </c>
      <c r="G57">
        <v>0.02</v>
      </c>
      <c r="H57">
        <v>0.24</v>
      </c>
      <c r="I57">
        <v>0.25</v>
      </c>
      <c r="J57" t="s">
        <v>14</v>
      </c>
    </row>
    <row r="58" spans="1:10" x14ac:dyDescent="0.25">
      <c r="A58">
        <v>18238</v>
      </c>
      <c r="B58">
        <v>6.0469999999999997</v>
      </c>
      <c r="C58">
        <v>6.0481999999999996</v>
      </c>
      <c r="D58" s="13">
        <v>46106.547615740739</v>
      </c>
      <c r="E58" t="s">
        <v>19</v>
      </c>
      <c r="F58">
        <v>-0.04</v>
      </c>
      <c r="G58">
        <v>-0.04</v>
      </c>
      <c r="H58">
        <v>-0.69</v>
      </c>
      <c r="I58">
        <v>-0.68</v>
      </c>
      <c r="J58" t="s">
        <v>14</v>
      </c>
    </row>
    <row r="59" spans="1:10" x14ac:dyDescent="0.25">
      <c r="A59">
        <v>18239</v>
      </c>
      <c r="B59">
        <v>6.0362</v>
      </c>
      <c r="C59">
        <v>6.0373999999999999</v>
      </c>
      <c r="D59" s="13">
        <v>46107.549409722225</v>
      </c>
      <c r="E59" t="s">
        <v>19</v>
      </c>
      <c r="F59">
        <v>-0.01</v>
      </c>
      <c r="G59">
        <v>-0.01</v>
      </c>
      <c r="H59">
        <v>-0.18</v>
      </c>
      <c r="I59">
        <v>-0.18</v>
      </c>
      <c r="J59" t="s">
        <v>14</v>
      </c>
    </row>
    <row r="60" spans="1:10" x14ac:dyDescent="0.25">
      <c r="A60">
        <v>18240</v>
      </c>
      <c r="B60">
        <v>6.0324999999999998</v>
      </c>
      <c r="C60">
        <v>6.0336999999999996</v>
      </c>
      <c r="D60" s="13">
        <v>46108.549791666665</v>
      </c>
      <c r="E60" t="s">
        <v>19</v>
      </c>
      <c r="F60">
        <v>0</v>
      </c>
      <c r="G60">
        <v>0</v>
      </c>
      <c r="H60">
        <v>-0.06</v>
      </c>
      <c r="I60">
        <v>-0.06</v>
      </c>
      <c r="J60" t="s">
        <v>14</v>
      </c>
    </row>
    <row r="61" spans="1:10" x14ac:dyDescent="0.25">
      <c r="A61">
        <v>18241</v>
      </c>
      <c r="B61">
        <v>5.9958</v>
      </c>
      <c r="C61">
        <v>5.9969999999999999</v>
      </c>
      <c r="D61" s="13">
        <v>46111.548935185187</v>
      </c>
      <c r="E61" t="s">
        <v>19</v>
      </c>
      <c r="F61">
        <v>-0.04</v>
      </c>
      <c r="G61">
        <v>-0.04</v>
      </c>
      <c r="H61">
        <v>-0.61</v>
      </c>
      <c r="I61">
        <v>-0.61</v>
      </c>
      <c r="J61" t="s">
        <v>14</v>
      </c>
    </row>
    <row r="62" spans="1:10" x14ac:dyDescent="0.25">
      <c r="A62">
        <v>18242</v>
      </c>
      <c r="B62">
        <v>6.01</v>
      </c>
      <c r="C62">
        <v>6.0117000000000003</v>
      </c>
      <c r="D62" s="13">
        <v>46112.544710648152</v>
      </c>
      <c r="E62" t="s">
        <v>19</v>
      </c>
      <c r="F62">
        <v>0.01</v>
      </c>
      <c r="G62">
        <v>0.01</v>
      </c>
      <c r="H62">
        <v>0.25</v>
      </c>
      <c r="I62">
        <v>0.24</v>
      </c>
      <c r="J62" t="s">
        <v>14</v>
      </c>
    </row>
    <row r="63" spans="1:10" x14ac:dyDescent="0.25">
      <c r="A63">
        <v>18243</v>
      </c>
      <c r="B63">
        <v>5.9923000000000002</v>
      </c>
      <c r="C63">
        <v>5.9935</v>
      </c>
      <c r="D63" s="13">
        <v>46113.546157407407</v>
      </c>
      <c r="E63" t="s">
        <v>20</v>
      </c>
      <c r="F63">
        <v>-0.02</v>
      </c>
      <c r="G63">
        <v>-0.02</v>
      </c>
      <c r="H63">
        <v>-0.3</v>
      </c>
      <c r="I63">
        <v>-0.28999999999999998</v>
      </c>
      <c r="J63" t="s">
        <v>14</v>
      </c>
    </row>
    <row r="64" spans="1:10" x14ac:dyDescent="0.25">
      <c r="A64">
        <v>18244</v>
      </c>
      <c r="B64">
        <v>5.9629000000000003</v>
      </c>
      <c r="C64">
        <v>5.9641000000000002</v>
      </c>
      <c r="D64" s="13">
        <v>46114.54892361111</v>
      </c>
      <c r="E64" t="s">
        <v>20</v>
      </c>
      <c r="F64">
        <v>-0.03</v>
      </c>
      <c r="G64">
        <v>-0.03</v>
      </c>
      <c r="H64">
        <v>-0.49</v>
      </c>
      <c r="I64">
        <v>-0.49</v>
      </c>
      <c r="J64" t="s">
        <v>14</v>
      </c>
    </row>
    <row r="65" spans="1:10" x14ac:dyDescent="0.25">
      <c r="A65">
        <v>18245</v>
      </c>
      <c r="B65">
        <v>5.9476000000000004</v>
      </c>
      <c r="C65">
        <v>5.9499000000000004</v>
      </c>
      <c r="D65" s="13">
        <v>46118.546122685184</v>
      </c>
      <c r="E65" t="s">
        <v>20</v>
      </c>
      <c r="F65">
        <v>-0.01</v>
      </c>
      <c r="G65">
        <v>-0.02</v>
      </c>
      <c r="H65">
        <v>-0.24</v>
      </c>
      <c r="I65">
        <v>-0.26</v>
      </c>
      <c r="J65" t="s">
        <v>14</v>
      </c>
    </row>
    <row r="66" spans="1:10" x14ac:dyDescent="0.25">
      <c r="A66">
        <v>18246</v>
      </c>
      <c r="B66">
        <v>5.9728000000000003</v>
      </c>
      <c r="C66">
        <v>5.9740000000000002</v>
      </c>
      <c r="D66" s="13">
        <v>46119.547523148147</v>
      </c>
      <c r="E66" t="s">
        <v>20</v>
      </c>
      <c r="F66">
        <v>0.02</v>
      </c>
      <c r="G66">
        <v>0.03</v>
      </c>
      <c r="H66">
        <v>0.41</v>
      </c>
      <c r="I66">
        <v>0.42</v>
      </c>
      <c r="J66" t="s">
        <v>14</v>
      </c>
    </row>
    <row r="67" spans="1:10" x14ac:dyDescent="0.25">
      <c r="A67">
        <v>18247</v>
      </c>
      <c r="B67">
        <v>5.9467999999999996</v>
      </c>
      <c r="C67">
        <v>5.9485999999999999</v>
      </c>
      <c r="D67" s="13">
        <v>46120.543391203704</v>
      </c>
      <c r="E67" t="s">
        <v>20</v>
      </c>
      <c r="F67">
        <v>-0.03</v>
      </c>
      <c r="G67">
        <v>-0.03</v>
      </c>
      <c r="H67">
        <v>-0.43</v>
      </c>
      <c r="I67">
        <v>-0.44</v>
      </c>
      <c r="J67" t="s">
        <v>14</v>
      </c>
    </row>
    <row r="68" spans="1:10" x14ac:dyDescent="0.25">
      <c r="A68">
        <v>18248</v>
      </c>
      <c r="B68">
        <v>5.9478999999999997</v>
      </c>
      <c r="C68">
        <v>5.9490999999999996</v>
      </c>
      <c r="D68" s="13">
        <v>46121.548958333333</v>
      </c>
      <c r="E68" t="s">
        <v>20</v>
      </c>
      <c r="F68">
        <v>0</v>
      </c>
      <c r="G68">
        <v>0</v>
      </c>
      <c r="H68">
        <v>0.01</v>
      </c>
      <c r="I68">
        <v>0.02</v>
      </c>
      <c r="J68" t="s">
        <v>14</v>
      </c>
    </row>
    <row r="69" spans="1:10" x14ac:dyDescent="0.25">
      <c r="A69">
        <v>18249</v>
      </c>
      <c r="B69">
        <v>5.8865999999999996</v>
      </c>
      <c r="C69">
        <v>5.8883000000000001</v>
      </c>
      <c r="D69" s="13">
        <v>46122.544733796298</v>
      </c>
      <c r="E69" t="s">
        <v>20</v>
      </c>
      <c r="F69">
        <v>-0.06</v>
      </c>
      <c r="G69">
        <v>-0.06</v>
      </c>
      <c r="H69">
        <v>-1.02</v>
      </c>
      <c r="I69">
        <v>-1.03</v>
      </c>
      <c r="J69" t="s">
        <v>14</v>
      </c>
    </row>
    <row r="70" spans="1:10" x14ac:dyDescent="0.25">
      <c r="A70">
        <v>18250</v>
      </c>
      <c r="B70">
        <v>5.8823999999999996</v>
      </c>
      <c r="C70">
        <v>5.8841000000000001</v>
      </c>
      <c r="D70" s="13">
        <v>46125.545069444444</v>
      </c>
      <c r="E70" t="s">
        <v>20</v>
      </c>
      <c r="F70">
        <v>0</v>
      </c>
      <c r="G70">
        <v>0</v>
      </c>
      <c r="H70">
        <v>-7.0000000000000007E-2</v>
      </c>
      <c r="I70">
        <v>-7.0000000000000007E-2</v>
      </c>
      <c r="J70" t="s">
        <v>14</v>
      </c>
    </row>
    <row r="71" spans="1:10" x14ac:dyDescent="0.25">
      <c r="A71">
        <v>18251</v>
      </c>
      <c r="B71">
        <v>5.8708999999999998</v>
      </c>
      <c r="C71">
        <v>5.8726000000000003</v>
      </c>
      <c r="D71" s="13">
        <v>46126.544062499997</v>
      </c>
      <c r="E71" t="s">
        <v>20</v>
      </c>
      <c r="F71">
        <v>-0.01</v>
      </c>
      <c r="G71">
        <v>-0.01</v>
      </c>
      <c r="H71">
        <v>-0.2</v>
      </c>
      <c r="I71">
        <v>-0.2</v>
      </c>
      <c r="J71" t="s">
        <v>14</v>
      </c>
    </row>
    <row r="72" spans="1:10" x14ac:dyDescent="0.25">
      <c r="A72">
        <v>18252</v>
      </c>
      <c r="B72">
        <v>5.8898000000000001</v>
      </c>
      <c r="C72">
        <v>5.891</v>
      </c>
      <c r="D72" s="13">
        <v>46127.546134259261</v>
      </c>
      <c r="E72" t="s">
        <v>20</v>
      </c>
      <c r="F72">
        <v>0.02</v>
      </c>
      <c r="G72">
        <v>0.02</v>
      </c>
      <c r="H72">
        <v>0.31</v>
      </c>
      <c r="I72">
        <v>0.32</v>
      </c>
      <c r="J72" t="s">
        <v>14</v>
      </c>
    </row>
    <row r="73" spans="1:10" x14ac:dyDescent="0.25">
      <c r="A73">
        <v>18253</v>
      </c>
      <c r="B73">
        <v>5.8906000000000001</v>
      </c>
      <c r="C73">
        <v>5.8922999999999996</v>
      </c>
      <c r="D73" s="13">
        <v>46128.544085648151</v>
      </c>
      <c r="E73" t="s">
        <v>20</v>
      </c>
      <c r="F73">
        <v>0</v>
      </c>
      <c r="G73">
        <v>0</v>
      </c>
      <c r="H73">
        <v>0.02</v>
      </c>
      <c r="I73">
        <v>0.01</v>
      </c>
      <c r="J73" t="s">
        <v>14</v>
      </c>
    </row>
    <row r="74" spans="1:10" x14ac:dyDescent="0.25">
      <c r="A74">
        <v>18254</v>
      </c>
      <c r="B74">
        <v>5.8632999999999997</v>
      </c>
      <c r="C74">
        <v>5.8644999999999996</v>
      </c>
      <c r="D74" s="13">
        <v>46129.548229166663</v>
      </c>
      <c r="E74" t="s">
        <v>20</v>
      </c>
      <c r="F74">
        <v>-0.03</v>
      </c>
      <c r="G74">
        <v>-0.03</v>
      </c>
      <c r="H74">
        <v>-0.47</v>
      </c>
      <c r="I74">
        <v>-0.46</v>
      </c>
      <c r="J74" t="s">
        <v>14</v>
      </c>
    </row>
    <row r="75" spans="1:10" x14ac:dyDescent="0.25">
      <c r="A75">
        <v>18255</v>
      </c>
      <c r="B75">
        <v>5.8728999999999996</v>
      </c>
      <c r="C75">
        <v>5.8741000000000003</v>
      </c>
      <c r="D75" s="13">
        <v>46132.543356481481</v>
      </c>
      <c r="E75" t="s">
        <v>20</v>
      </c>
      <c r="F75">
        <v>0.01</v>
      </c>
      <c r="G75">
        <v>0.01</v>
      </c>
      <c r="H75">
        <v>0.16</v>
      </c>
      <c r="I75">
        <v>0.16</v>
      </c>
      <c r="J75" t="s">
        <v>14</v>
      </c>
    </row>
    <row r="76" spans="1:10" x14ac:dyDescent="0.25">
      <c r="A76">
        <v>18256</v>
      </c>
      <c r="B76">
        <v>5.8151999999999999</v>
      </c>
      <c r="C76">
        <v>5.8163999999999998</v>
      </c>
      <c r="D76" s="13">
        <v>46134.549629629626</v>
      </c>
      <c r="E76" t="s">
        <v>20</v>
      </c>
      <c r="F76">
        <v>-0.06</v>
      </c>
      <c r="G76">
        <v>-0.06</v>
      </c>
      <c r="H76">
        <v>-0.98</v>
      </c>
      <c r="I76">
        <v>-0.98</v>
      </c>
      <c r="J76" t="s">
        <v>14</v>
      </c>
    </row>
    <row r="77" spans="1:10" x14ac:dyDescent="0.25">
      <c r="A77">
        <v>18257</v>
      </c>
      <c r="B77">
        <v>5.7968000000000002</v>
      </c>
      <c r="C77">
        <v>5.7984999999999998</v>
      </c>
      <c r="D77" s="13">
        <v>46135.544050925928</v>
      </c>
      <c r="E77" t="s">
        <v>20</v>
      </c>
      <c r="F77">
        <v>-0.02</v>
      </c>
      <c r="G77">
        <v>-0.02</v>
      </c>
      <c r="H77">
        <v>-0.31</v>
      </c>
      <c r="I77">
        <v>-0.32</v>
      </c>
      <c r="J77" t="s">
        <v>14</v>
      </c>
    </row>
    <row r="78" spans="1:10" x14ac:dyDescent="0.25">
      <c r="A78">
        <v>18258</v>
      </c>
      <c r="B78">
        <v>5.8674999999999997</v>
      </c>
      <c r="C78">
        <v>5.8692000000000002</v>
      </c>
      <c r="D78" s="13">
        <v>46136.546018518522</v>
      </c>
      <c r="E78" t="s">
        <v>20</v>
      </c>
      <c r="F78">
        <v>7.0000000000000007E-2</v>
      </c>
      <c r="G78">
        <v>7.0000000000000007E-2</v>
      </c>
      <c r="H78">
        <v>1.22</v>
      </c>
      <c r="I78">
        <v>1.22</v>
      </c>
      <c r="J78" t="s">
        <v>14</v>
      </c>
    </row>
    <row r="79" spans="1:10" x14ac:dyDescent="0.25">
      <c r="A79">
        <v>18259</v>
      </c>
      <c r="B79">
        <v>5.8291000000000004</v>
      </c>
      <c r="C79">
        <v>5.8303000000000003</v>
      </c>
      <c r="D79" s="13">
        <v>46139.545995370368</v>
      </c>
      <c r="E79" t="s">
        <v>20</v>
      </c>
      <c r="F79">
        <v>-0.04</v>
      </c>
      <c r="G79">
        <v>-0.04</v>
      </c>
      <c r="H79">
        <v>-0.66</v>
      </c>
      <c r="I79">
        <v>-0.65</v>
      </c>
      <c r="J79" t="s">
        <v>14</v>
      </c>
    </row>
    <row r="80" spans="1:10" x14ac:dyDescent="0.25">
      <c r="A80">
        <v>18260</v>
      </c>
      <c r="B80">
        <v>5.8419999999999996</v>
      </c>
      <c r="C80">
        <v>5.8432000000000004</v>
      </c>
      <c r="D80" s="13">
        <v>46140.54891203704</v>
      </c>
      <c r="E80" t="s">
        <v>20</v>
      </c>
      <c r="F80">
        <v>0.01</v>
      </c>
      <c r="G80">
        <v>0.01</v>
      </c>
      <c r="H80">
        <v>0.22</v>
      </c>
      <c r="I80">
        <v>0.22</v>
      </c>
      <c r="J80" t="s">
        <v>14</v>
      </c>
    </row>
    <row r="81" spans="1:10" x14ac:dyDescent="0.25">
      <c r="A81">
        <v>18261</v>
      </c>
      <c r="B81">
        <v>5.8445</v>
      </c>
      <c r="C81">
        <v>5.8456999999999999</v>
      </c>
      <c r="D81" s="13">
        <v>46141.54959490741</v>
      </c>
      <c r="E81" t="s">
        <v>20</v>
      </c>
      <c r="F81">
        <v>0</v>
      </c>
      <c r="G81">
        <v>0</v>
      </c>
      <c r="H81">
        <v>0.04</v>
      </c>
      <c r="I81">
        <v>0.04</v>
      </c>
      <c r="J81" t="s">
        <v>14</v>
      </c>
    </row>
    <row r="82" spans="1:10" x14ac:dyDescent="0.25">
      <c r="A82">
        <v>18262</v>
      </c>
      <c r="B82">
        <v>5.8498999999999999</v>
      </c>
      <c r="C82">
        <v>5.8510999999999997</v>
      </c>
      <c r="D82" s="13">
        <v>46142.546157407407</v>
      </c>
      <c r="E82" t="s">
        <v>20</v>
      </c>
      <c r="F82">
        <v>0.01</v>
      </c>
      <c r="G82">
        <v>0.01</v>
      </c>
      <c r="H82">
        <v>0.09</v>
      </c>
      <c r="I82">
        <v>0.09</v>
      </c>
      <c r="J82" t="s">
        <v>14</v>
      </c>
    </row>
    <row r="83" spans="1:10" x14ac:dyDescent="0.25">
      <c r="A83">
        <v>18263</v>
      </c>
      <c r="B83">
        <v>5.7995000000000001</v>
      </c>
      <c r="C83">
        <v>5.8007</v>
      </c>
      <c r="D83" s="13">
        <v>46146.548217592594</v>
      </c>
      <c r="E83" t="s">
        <v>21</v>
      </c>
      <c r="F83">
        <v>-0.05</v>
      </c>
      <c r="G83">
        <v>-0.05</v>
      </c>
      <c r="H83">
        <v>-0.86</v>
      </c>
      <c r="I83">
        <v>-0.86</v>
      </c>
      <c r="J83" t="s">
        <v>14</v>
      </c>
    </row>
    <row r="84" spans="1:10" x14ac:dyDescent="0.25">
      <c r="A84">
        <v>18264</v>
      </c>
      <c r="B84">
        <v>5.7636000000000003</v>
      </c>
      <c r="C84">
        <v>5.7648000000000001</v>
      </c>
      <c r="D84" s="13">
        <v>46147.544745370367</v>
      </c>
      <c r="E84" t="s">
        <v>21</v>
      </c>
      <c r="F84">
        <v>-0.04</v>
      </c>
      <c r="G84">
        <v>-0.04</v>
      </c>
      <c r="H84">
        <v>-0.62</v>
      </c>
      <c r="I84">
        <v>-0.62</v>
      </c>
      <c r="J84" t="s">
        <v>14</v>
      </c>
    </row>
    <row r="85" spans="1:10" x14ac:dyDescent="0.25">
      <c r="A85">
        <v>18265</v>
      </c>
      <c r="B85">
        <v>5.79</v>
      </c>
      <c r="C85">
        <v>5.7911999999999999</v>
      </c>
      <c r="D85" s="13">
        <v>46148.547546296293</v>
      </c>
      <c r="E85" t="s">
        <v>21</v>
      </c>
      <c r="F85">
        <v>0.03</v>
      </c>
      <c r="G85">
        <v>0.03</v>
      </c>
      <c r="H85">
        <v>0.46</v>
      </c>
      <c r="I85">
        <v>0.46</v>
      </c>
      <c r="J85" t="s">
        <v>14</v>
      </c>
    </row>
    <row r="86" spans="1:10" x14ac:dyDescent="0.25">
      <c r="A86">
        <v>18266</v>
      </c>
      <c r="B86">
        <v>5.7831999999999999</v>
      </c>
      <c r="C86">
        <v>5.7843999999999998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-0.12</v>
      </c>
      <c r="I86">
        <v>-0.12</v>
      </c>
      <c r="J86" t="s">
        <v>14</v>
      </c>
    </row>
    <row r="87" spans="1:10" x14ac:dyDescent="0.25">
      <c r="A87">
        <v>18267</v>
      </c>
      <c r="B87">
        <v>5.7675000000000001</v>
      </c>
      <c r="C87">
        <v>5.7690999999999999</v>
      </c>
      <c r="D87" s="13">
        <v>46150.54550925926</v>
      </c>
      <c r="E87" t="s">
        <v>21</v>
      </c>
      <c r="F87">
        <v>-0.02</v>
      </c>
      <c r="G87">
        <v>-0.02</v>
      </c>
      <c r="H87">
        <v>-0.26</v>
      </c>
      <c r="I87">
        <v>-0.27</v>
      </c>
      <c r="J87" t="s">
        <v>14</v>
      </c>
    </row>
    <row r="88" spans="1:10" x14ac:dyDescent="0.25">
      <c r="A88">
        <v>18268</v>
      </c>
      <c r="B88">
        <v>5.7678000000000003</v>
      </c>
      <c r="C88">
        <v>5.7694999999999999</v>
      </c>
      <c r="D88" s="13">
        <v>46153.547511574077</v>
      </c>
      <c r="E88" t="s">
        <v>21</v>
      </c>
      <c r="F88">
        <v>0</v>
      </c>
      <c r="G88">
        <v>0</v>
      </c>
      <c r="H88">
        <v>0.01</v>
      </c>
      <c r="I88">
        <v>0.01</v>
      </c>
      <c r="J88" t="s">
        <v>14</v>
      </c>
    </row>
    <row r="89" spans="1:10" x14ac:dyDescent="0.25">
      <c r="A89">
        <v>18269</v>
      </c>
      <c r="B89">
        <v>5.7453000000000003</v>
      </c>
      <c r="C89">
        <v>5.7465000000000002</v>
      </c>
      <c r="D89" s="13">
        <v>46154.549618055556</v>
      </c>
      <c r="E89" t="s">
        <v>21</v>
      </c>
      <c r="F89">
        <v>-0.02</v>
      </c>
      <c r="G89">
        <v>-0.02</v>
      </c>
      <c r="H89">
        <v>-0.4</v>
      </c>
      <c r="I89">
        <v>-0.39</v>
      </c>
      <c r="J89" t="s">
        <v>14</v>
      </c>
    </row>
    <row r="90" spans="1:10" x14ac:dyDescent="0.25">
      <c r="A90">
        <v>18270</v>
      </c>
      <c r="B90">
        <v>5.7510000000000003</v>
      </c>
      <c r="C90">
        <v>5.7522000000000002</v>
      </c>
      <c r="D90" s="13">
        <v>46155.554108796299</v>
      </c>
      <c r="E90" t="s">
        <v>21</v>
      </c>
      <c r="F90">
        <v>0.01</v>
      </c>
      <c r="G90">
        <v>0.01</v>
      </c>
      <c r="H90">
        <v>0.1</v>
      </c>
      <c r="I90">
        <v>0.1</v>
      </c>
      <c r="J90" t="s">
        <v>14</v>
      </c>
    </row>
    <row r="91" spans="1:10" x14ac:dyDescent="0.25">
      <c r="A91">
        <v>18271</v>
      </c>
      <c r="B91">
        <v>5.8155000000000001</v>
      </c>
      <c r="C91">
        <v>5.8167</v>
      </c>
      <c r="D91" s="13">
        <v>46156.543923611112</v>
      </c>
      <c r="E91" t="s">
        <v>21</v>
      </c>
      <c r="F91">
        <v>0.06</v>
      </c>
      <c r="G91">
        <v>0.06</v>
      </c>
      <c r="H91">
        <v>1.1200000000000001</v>
      </c>
      <c r="I91">
        <v>1.1200000000000001</v>
      </c>
      <c r="J91" t="s">
        <v>14</v>
      </c>
    </row>
    <row r="92" spans="1:10" x14ac:dyDescent="0.25">
      <c r="A92">
        <v>18272</v>
      </c>
      <c r="B92">
        <v>5.8883000000000001</v>
      </c>
      <c r="C92">
        <v>5.89</v>
      </c>
      <c r="D92" s="13">
        <v>46157.547534722224</v>
      </c>
      <c r="E92" t="s">
        <v>21</v>
      </c>
      <c r="F92">
        <v>7.0000000000000007E-2</v>
      </c>
      <c r="G92">
        <v>7.0000000000000007E-2</v>
      </c>
      <c r="H92">
        <v>1.26</v>
      </c>
      <c r="I92">
        <v>1.25</v>
      </c>
      <c r="J92" t="s">
        <v>14</v>
      </c>
    </row>
    <row r="93" spans="1:10" x14ac:dyDescent="0.25">
      <c r="A93">
        <v>18273</v>
      </c>
      <c r="B93">
        <v>5.8341000000000003</v>
      </c>
      <c r="C93">
        <v>5.8357999999999999</v>
      </c>
      <c r="D93" s="13">
        <v>46160.544745370367</v>
      </c>
      <c r="E93" t="s">
        <v>21</v>
      </c>
      <c r="F93">
        <v>-0.05</v>
      </c>
      <c r="G93">
        <v>-0.05</v>
      </c>
      <c r="H93">
        <v>-0.92</v>
      </c>
      <c r="I93">
        <v>-0.92</v>
      </c>
      <c r="J93" t="s">
        <v>14</v>
      </c>
    </row>
    <row r="94" spans="1:10" x14ac:dyDescent="0.25">
      <c r="D94" s="6"/>
    </row>
    <row r="95" spans="1:10" x14ac:dyDescent="0.25">
      <c r="D95" s="6"/>
    </row>
    <row r="96" spans="1:10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  <row r="130" spans="4:4" x14ac:dyDescent="0.25">
      <c r="D130" s="6"/>
    </row>
    <row r="131" spans="4:4" x14ac:dyDescent="0.25">
      <c r="D131" s="6"/>
    </row>
    <row r="132" spans="4:4" x14ac:dyDescent="0.25">
      <c r="D132" s="6"/>
    </row>
    <row r="133" spans="4:4" x14ac:dyDescent="0.25">
      <c r="D133" s="6"/>
    </row>
    <row r="134" spans="4:4" x14ac:dyDescent="0.25">
      <c r="D134" s="6"/>
    </row>
    <row r="135" spans="4:4" x14ac:dyDescent="0.25">
      <c r="D135" s="6"/>
    </row>
    <row r="136" spans="4:4" x14ac:dyDescent="0.25">
      <c r="D136" s="6"/>
    </row>
    <row r="137" spans="4:4" x14ac:dyDescent="0.25">
      <c r="D137" s="6"/>
    </row>
    <row r="138" spans="4:4" x14ac:dyDescent="0.25">
      <c r="D138" s="6"/>
    </row>
    <row r="139" spans="4:4" x14ac:dyDescent="0.25">
      <c r="D139" s="6"/>
    </row>
    <row r="140" spans="4:4" x14ac:dyDescent="0.25">
      <c r="D140" s="6"/>
    </row>
    <row r="141" spans="4:4" x14ac:dyDescent="0.25">
      <c r="D141" s="6"/>
    </row>
    <row r="142" spans="4:4" x14ac:dyDescent="0.25">
      <c r="D142" s="6"/>
    </row>
    <row r="143" spans="4:4" x14ac:dyDescent="0.25">
      <c r="D143" s="6"/>
    </row>
    <row r="144" spans="4:4" x14ac:dyDescent="0.25">
      <c r="D144" s="6"/>
    </row>
    <row r="145" spans="4:4" x14ac:dyDescent="0.25">
      <c r="D145" s="6"/>
    </row>
    <row r="146" spans="4:4" x14ac:dyDescent="0.25">
      <c r="D146" s="6"/>
    </row>
    <row r="147" spans="4:4" x14ac:dyDescent="0.25">
      <c r="D147" s="6"/>
    </row>
    <row r="148" spans="4:4" x14ac:dyDescent="0.25">
      <c r="D148" s="6"/>
    </row>
    <row r="149" spans="4:4" x14ac:dyDescent="0.25">
      <c r="D149" s="6"/>
    </row>
    <row r="150" spans="4:4" x14ac:dyDescent="0.25">
      <c r="D150" s="6"/>
    </row>
    <row r="151" spans="4:4" x14ac:dyDescent="0.25">
      <c r="D151" s="6"/>
    </row>
    <row r="152" spans="4:4" x14ac:dyDescent="0.25">
      <c r="D152" s="6"/>
    </row>
    <row r="153" spans="4:4" x14ac:dyDescent="0.25">
      <c r="D153" s="6"/>
    </row>
    <row r="154" spans="4:4" x14ac:dyDescent="0.25">
      <c r="D154" s="6"/>
    </row>
    <row r="155" spans="4:4" x14ac:dyDescent="0.25">
      <c r="D155" s="6"/>
    </row>
    <row r="156" spans="4:4" x14ac:dyDescent="0.25">
      <c r="D156" s="6"/>
    </row>
    <row r="157" spans="4:4" x14ac:dyDescent="0.25">
      <c r="D157" s="6"/>
    </row>
    <row r="158" spans="4:4" x14ac:dyDescent="0.25">
      <c r="D158" s="6"/>
    </row>
    <row r="159" spans="4:4" x14ac:dyDescent="0.25">
      <c r="D159" s="6"/>
    </row>
    <row r="160" spans="4:4" x14ac:dyDescent="0.25">
      <c r="D160" s="6"/>
    </row>
    <row r="161" spans="4:4" x14ac:dyDescent="0.25">
      <c r="D161" s="6"/>
    </row>
    <row r="162" spans="4:4" x14ac:dyDescent="0.25">
      <c r="D162" s="6"/>
    </row>
    <row r="163" spans="4:4" x14ac:dyDescent="0.25">
      <c r="D163" s="6"/>
    </row>
    <row r="164" spans="4:4" x14ac:dyDescent="0.25">
      <c r="D164" s="6"/>
    </row>
    <row r="165" spans="4:4" x14ac:dyDescent="0.25">
      <c r="D165" s="6"/>
    </row>
    <row r="166" spans="4:4" x14ac:dyDescent="0.25">
      <c r="D166" s="6"/>
    </row>
    <row r="167" spans="4:4" x14ac:dyDescent="0.25">
      <c r="D167" s="6"/>
    </row>
    <row r="168" spans="4:4" x14ac:dyDescent="0.25">
      <c r="D168" s="6"/>
    </row>
    <row r="169" spans="4:4" x14ac:dyDescent="0.25">
      <c r="D169" s="6"/>
    </row>
    <row r="170" spans="4:4" x14ac:dyDescent="0.25">
      <c r="D170" s="6"/>
    </row>
    <row r="171" spans="4:4" x14ac:dyDescent="0.25">
      <c r="D171" s="6"/>
    </row>
    <row r="172" spans="4:4" x14ac:dyDescent="0.25">
      <c r="D172" s="6"/>
    </row>
    <row r="173" spans="4:4" x14ac:dyDescent="0.25">
      <c r="D173" s="6"/>
    </row>
    <row r="174" spans="4:4" x14ac:dyDescent="0.25">
      <c r="D174" s="6"/>
    </row>
    <row r="175" spans="4:4" x14ac:dyDescent="0.25">
      <c r="D175" s="6"/>
    </row>
    <row r="176" spans="4:4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topLeftCell="A76" workbookViewId="0">
      <selection activeCell="C98" sqref="C98:D98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21791</v>
      </c>
      <c r="B2">
        <v>5.4366000000000003</v>
      </c>
      <c r="C2">
        <v>5.4371999999999998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21792</v>
      </c>
      <c r="B3">
        <v>5.4344999999999999</v>
      </c>
      <c r="C3">
        <v>5.4351000000000003</v>
      </c>
      <c r="D3" s="13">
        <v>46027.548784722225</v>
      </c>
      <c r="E3" t="s">
        <v>17</v>
      </c>
      <c r="F3">
        <v>0</v>
      </c>
      <c r="G3">
        <v>0</v>
      </c>
      <c r="H3">
        <v>-0.04</v>
      </c>
      <c r="I3">
        <v>-0.04</v>
      </c>
      <c r="J3" t="s">
        <v>14</v>
      </c>
    </row>
    <row r="4" spans="1:10" x14ac:dyDescent="0.25">
      <c r="A4">
        <v>21793</v>
      </c>
      <c r="B4">
        <v>5.3791000000000002</v>
      </c>
      <c r="C4">
        <v>5.3796999999999997</v>
      </c>
      <c r="D4" s="13">
        <v>46028.550081018519</v>
      </c>
      <c r="E4" t="s">
        <v>17</v>
      </c>
      <c r="F4">
        <v>-0.06</v>
      </c>
      <c r="G4">
        <v>-0.06</v>
      </c>
      <c r="H4">
        <v>-1.02</v>
      </c>
      <c r="I4">
        <v>-1.02</v>
      </c>
      <c r="J4" t="s">
        <v>14</v>
      </c>
    </row>
    <row r="5" spans="1:10" x14ac:dyDescent="0.25">
      <c r="A5">
        <v>21794</v>
      </c>
      <c r="B5">
        <v>5.3874000000000004</v>
      </c>
      <c r="C5">
        <v>5.3879999999999999</v>
      </c>
      <c r="D5" s="13">
        <v>46029.54614583333</v>
      </c>
      <c r="E5" t="s">
        <v>17</v>
      </c>
      <c r="F5">
        <v>0.01</v>
      </c>
      <c r="G5">
        <v>0.01</v>
      </c>
      <c r="H5">
        <v>0.15</v>
      </c>
      <c r="I5">
        <v>0.15</v>
      </c>
      <c r="J5" t="s">
        <v>14</v>
      </c>
    </row>
    <row r="6" spans="1:10" x14ac:dyDescent="0.25">
      <c r="A6">
        <v>21795</v>
      </c>
      <c r="B6">
        <v>5.3853999999999997</v>
      </c>
      <c r="C6">
        <v>5.3860000000000001</v>
      </c>
      <c r="D6" s="13">
        <v>46030.54478009259</v>
      </c>
      <c r="E6" t="s">
        <v>17</v>
      </c>
      <c r="F6">
        <v>0</v>
      </c>
      <c r="G6">
        <v>0</v>
      </c>
      <c r="H6">
        <v>-0.04</v>
      </c>
      <c r="I6">
        <v>-0.04</v>
      </c>
      <c r="J6" t="s">
        <v>14</v>
      </c>
    </row>
    <row r="7" spans="1:10" x14ac:dyDescent="0.25">
      <c r="A7">
        <v>21796</v>
      </c>
      <c r="B7">
        <v>5.3700999999999999</v>
      </c>
      <c r="C7">
        <v>5.3707000000000003</v>
      </c>
      <c r="D7" s="13">
        <v>46031.548252314817</v>
      </c>
      <c r="E7" t="s">
        <v>17</v>
      </c>
      <c r="F7">
        <v>-0.02</v>
      </c>
      <c r="G7">
        <v>-0.02</v>
      </c>
      <c r="H7">
        <v>-0.28000000000000003</v>
      </c>
      <c r="I7">
        <v>-0.28000000000000003</v>
      </c>
      <c r="J7" t="s">
        <v>14</v>
      </c>
    </row>
    <row r="8" spans="1:10" x14ac:dyDescent="0.25">
      <c r="A8">
        <v>21797</v>
      </c>
      <c r="B8">
        <v>5.3754</v>
      </c>
      <c r="C8">
        <v>5.3760000000000003</v>
      </c>
      <c r="D8" s="13">
        <v>46034.54755787037</v>
      </c>
      <c r="E8" t="s">
        <v>17</v>
      </c>
      <c r="F8">
        <v>0.01</v>
      </c>
      <c r="G8">
        <v>0.01</v>
      </c>
      <c r="H8">
        <v>0.1</v>
      </c>
      <c r="I8">
        <v>0.1</v>
      </c>
      <c r="J8" t="s">
        <v>14</v>
      </c>
    </row>
    <row r="9" spans="1:10" x14ac:dyDescent="0.25">
      <c r="A9">
        <v>21798</v>
      </c>
      <c r="B9">
        <v>5.3757999999999999</v>
      </c>
      <c r="C9">
        <v>5.3764000000000003</v>
      </c>
      <c r="D9" s="13">
        <v>46035.547847222224</v>
      </c>
      <c r="E9" t="s">
        <v>17</v>
      </c>
      <c r="F9">
        <v>0</v>
      </c>
      <c r="G9">
        <v>0</v>
      </c>
      <c r="H9">
        <v>0.01</v>
      </c>
      <c r="I9">
        <v>0.01</v>
      </c>
      <c r="J9" t="s">
        <v>14</v>
      </c>
    </row>
    <row r="10" spans="1:10" x14ac:dyDescent="0.25">
      <c r="A10">
        <v>21799</v>
      </c>
      <c r="B10">
        <v>5.3788999999999998</v>
      </c>
      <c r="C10">
        <v>5.3795000000000002</v>
      </c>
      <c r="D10" s="13">
        <v>46036.544814814813</v>
      </c>
      <c r="E10" t="s">
        <v>17</v>
      </c>
      <c r="F10">
        <v>0</v>
      </c>
      <c r="G10">
        <v>0</v>
      </c>
      <c r="H10">
        <v>0.06</v>
      </c>
      <c r="I10">
        <v>0.06</v>
      </c>
      <c r="J10" t="s">
        <v>14</v>
      </c>
    </row>
    <row r="11" spans="1:10" x14ac:dyDescent="0.25">
      <c r="A11">
        <v>21800</v>
      </c>
      <c r="B11">
        <v>5.3840000000000003</v>
      </c>
      <c r="C11">
        <v>5.3845999999999998</v>
      </c>
      <c r="D11" s="13">
        <v>46037.545439814814</v>
      </c>
      <c r="E11" t="s">
        <v>17</v>
      </c>
      <c r="F11">
        <v>0.01</v>
      </c>
      <c r="G11">
        <v>0.01</v>
      </c>
      <c r="H11">
        <v>0.09</v>
      </c>
      <c r="I11">
        <v>0.09</v>
      </c>
      <c r="J11" t="s">
        <v>14</v>
      </c>
    </row>
    <row r="12" spans="1:10" x14ac:dyDescent="0.25">
      <c r="A12">
        <v>21801</v>
      </c>
      <c r="B12">
        <v>5.3792</v>
      </c>
      <c r="C12">
        <v>5.3798000000000004</v>
      </c>
      <c r="D12" s="13">
        <v>46038.544745370367</v>
      </c>
      <c r="E12" t="s">
        <v>17</v>
      </c>
      <c r="F12">
        <v>0</v>
      </c>
      <c r="G12">
        <v>0</v>
      </c>
      <c r="H12">
        <v>-0.09</v>
      </c>
      <c r="I12">
        <v>-0.09</v>
      </c>
      <c r="J12" t="s">
        <v>14</v>
      </c>
    </row>
    <row r="13" spans="1:10" x14ac:dyDescent="0.25">
      <c r="A13">
        <v>21802</v>
      </c>
      <c r="B13">
        <v>5.3647</v>
      </c>
      <c r="C13">
        <v>5.3653000000000004</v>
      </c>
      <c r="D13" s="13">
        <v>46041.546851851854</v>
      </c>
      <c r="E13" t="s">
        <v>17</v>
      </c>
      <c r="F13">
        <v>-0.01</v>
      </c>
      <c r="G13">
        <v>-0.01</v>
      </c>
      <c r="H13">
        <v>-0.27</v>
      </c>
      <c r="I13">
        <v>-0.27</v>
      </c>
      <c r="J13" t="s">
        <v>14</v>
      </c>
    </row>
    <row r="14" spans="1:10" x14ac:dyDescent="0.25">
      <c r="A14">
        <v>21803</v>
      </c>
      <c r="B14">
        <v>5.3784000000000001</v>
      </c>
      <c r="C14">
        <v>5.3789999999999996</v>
      </c>
      <c r="D14" s="13">
        <v>46042.543414351851</v>
      </c>
      <c r="E14" t="s">
        <v>17</v>
      </c>
      <c r="F14">
        <v>0.01</v>
      </c>
      <c r="G14">
        <v>0.01</v>
      </c>
      <c r="H14">
        <v>0.26</v>
      </c>
      <c r="I14">
        <v>0.26</v>
      </c>
      <c r="J14" t="s">
        <v>14</v>
      </c>
    </row>
    <row r="15" spans="1:10" x14ac:dyDescent="0.25">
      <c r="A15">
        <v>21804</v>
      </c>
      <c r="B15">
        <v>5.3361999999999998</v>
      </c>
      <c r="C15">
        <v>5.3368000000000002</v>
      </c>
      <c r="D15" s="13">
        <v>46043.54482638889</v>
      </c>
      <c r="E15" t="s">
        <v>17</v>
      </c>
      <c r="F15">
        <v>-0.04</v>
      </c>
      <c r="G15">
        <v>-0.04</v>
      </c>
      <c r="H15">
        <v>-0.78</v>
      </c>
      <c r="I15">
        <v>-0.78</v>
      </c>
      <c r="J15" t="s">
        <v>14</v>
      </c>
    </row>
    <row r="16" spans="1:10" x14ac:dyDescent="0.25">
      <c r="A16">
        <v>21805</v>
      </c>
      <c r="B16">
        <v>5.3112000000000004</v>
      </c>
      <c r="C16">
        <v>5.3117999999999999</v>
      </c>
      <c r="D16" s="13">
        <v>46044.5468287037</v>
      </c>
      <c r="E16" t="s">
        <v>17</v>
      </c>
      <c r="F16">
        <v>-0.03</v>
      </c>
      <c r="G16">
        <v>-0.02</v>
      </c>
      <c r="H16">
        <v>-0.47</v>
      </c>
      <c r="I16">
        <v>-0.47</v>
      </c>
      <c r="J16" t="s">
        <v>14</v>
      </c>
    </row>
    <row r="17" spans="1:10" x14ac:dyDescent="0.25">
      <c r="A17">
        <v>21806</v>
      </c>
      <c r="B17">
        <v>5.2872000000000003</v>
      </c>
      <c r="C17">
        <v>5.2878999999999996</v>
      </c>
      <c r="D17" s="13">
        <v>46045.548217592594</v>
      </c>
      <c r="E17" t="s">
        <v>17</v>
      </c>
      <c r="F17">
        <v>-0.02</v>
      </c>
      <c r="G17">
        <v>-0.02</v>
      </c>
      <c r="H17">
        <v>-0.45</v>
      </c>
      <c r="I17">
        <v>-0.45</v>
      </c>
      <c r="J17" t="s">
        <v>14</v>
      </c>
    </row>
    <row r="18" spans="1:10" x14ac:dyDescent="0.25">
      <c r="A18">
        <v>21807</v>
      </c>
      <c r="B18">
        <v>5.2754000000000003</v>
      </c>
      <c r="C18">
        <v>5.2759999999999998</v>
      </c>
      <c r="D18" s="13">
        <v>46048.547951388886</v>
      </c>
      <c r="E18" t="s">
        <v>17</v>
      </c>
      <c r="F18">
        <v>-0.01</v>
      </c>
      <c r="G18">
        <v>-0.01</v>
      </c>
      <c r="H18">
        <v>-0.23</v>
      </c>
      <c r="I18">
        <v>-0.22</v>
      </c>
      <c r="J18" t="s">
        <v>14</v>
      </c>
    </row>
    <row r="19" spans="1:10" x14ac:dyDescent="0.25">
      <c r="A19">
        <v>21808</v>
      </c>
      <c r="B19">
        <v>5.2385999999999999</v>
      </c>
      <c r="C19">
        <v>5.2392000000000003</v>
      </c>
      <c r="D19" s="13">
        <v>46049.547523148147</v>
      </c>
      <c r="E19" t="s">
        <v>17</v>
      </c>
      <c r="F19">
        <v>-0.04</v>
      </c>
      <c r="G19">
        <v>-0.04</v>
      </c>
      <c r="H19">
        <v>-0.7</v>
      </c>
      <c r="I19">
        <v>-0.7</v>
      </c>
      <c r="J19" t="s">
        <v>14</v>
      </c>
    </row>
    <row r="20" spans="1:10" x14ac:dyDescent="0.25">
      <c r="A20">
        <v>21809</v>
      </c>
      <c r="B20">
        <v>5.1832000000000003</v>
      </c>
      <c r="C20">
        <v>5.1837999999999997</v>
      </c>
      <c r="D20" s="13">
        <v>46050.54892361111</v>
      </c>
      <c r="E20" t="s">
        <v>17</v>
      </c>
      <c r="F20">
        <v>-0.06</v>
      </c>
      <c r="G20">
        <v>-0.06</v>
      </c>
      <c r="H20">
        <v>-1.06</v>
      </c>
      <c r="I20">
        <v>-1.06</v>
      </c>
      <c r="J20" t="s">
        <v>14</v>
      </c>
    </row>
    <row r="21" spans="1:10" x14ac:dyDescent="0.25">
      <c r="A21">
        <v>21810</v>
      </c>
      <c r="B21">
        <v>5.1950000000000003</v>
      </c>
      <c r="C21">
        <v>5.1955999999999998</v>
      </c>
      <c r="D21" s="13">
        <v>46051.547488425924</v>
      </c>
      <c r="E21" t="s">
        <v>17</v>
      </c>
      <c r="F21">
        <v>0.01</v>
      </c>
      <c r="G21">
        <v>0.01</v>
      </c>
      <c r="H21">
        <v>0.23</v>
      </c>
      <c r="I21">
        <v>0.23</v>
      </c>
      <c r="J21" t="s">
        <v>14</v>
      </c>
    </row>
    <row r="22" spans="1:10" x14ac:dyDescent="0.25">
      <c r="A22">
        <v>21811</v>
      </c>
      <c r="B22">
        <v>5.2294999999999998</v>
      </c>
      <c r="C22">
        <v>5.2301000000000002</v>
      </c>
      <c r="D22" s="13">
        <v>46052.545474537037</v>
      </c>
      <c r="E22" t="s">
        <v>17</v>
      </c>
      <c r="F22">
        <v>0.03</v>
      </c>
      <c r="G22">
        <v>0.03</v>
      </c>
      <c r="H22">
        <v>0.66</v>
      </c>
      <c r="I22">
        <v>0.66</v>
      </c>
      <c r="J22" t="s">
        <v>14</v>
      </c>
    </row>
    <row r="23" spans="1:10" x14ac:dyDescent="0.25">
      <c r="A23">
        <v>21812</v>
      </c>
      <c r="B23">
        <v>5.2580999999999998</v>
      </c>
      <c r="C23">
        <v>5.2587000000000002</v>
      </c>
      <c r="D23" s="13">
        <v>46055.546851851854</v>
      </c>
      <c r="E23" t="s">
        <v>18</v>
      </c>
      <c r="F23">
        <v>0.03</v>
      </c>
      <c r="G23">
        <v>0.03</v>
      </c>
      <c r="H23">
        <v>0.55000000000000004</v>
      </c>
      <c r="I23">
        <v>0.55000000000000004</v>
      </c>
      <c r="J23" t="s">
        <v>14</v>
      </c>
    </row>
    <row r="24" spans="1:10" x14ac:dyDescent="0.25">
      <c r="A24">
        <v>21813</v>
      </c>
      <c r="B24">
        <v>5.2229999999999999</v>
      </c>
      <c r="C24">
        <v>5.2236000000000002</v>
      </c>
      <c r="D24" s="13">
        <v>46056.549618055556</v>
      </c>
      <c r="E24" t="s">
        <v>18</v>
      </c>
      <c r="F24">
        <v>-0.04</v>
      </c>
      <c r="G24">
        <v>-0.04</v>
      </c>
      <c r="H24">
        <v>-0.67</v>
      </c>
      <c r="I24">
        <v>-0.67</v>
      </c>
      <c r="J24" t="s">
        <v>14</v>
      </c>
    </row>
    <row r="25" spans="1:10" x14ac:dyDescent="0.25">
      <c r="A25">
        <v>21814</v>
      </c>
      <c r="B25">
        <v>5.2352999999999996</v>
      </c>
      <c r="C25">
        <v>5.2359</v>
      </c>
      <c r="D25" s="13">
        <v>46057.548946759256</v>
      </c>
      <c r="E25" t="s">
        <v>18</v>
      </c>
      <c r="F25">
        <v>0.01</v>
      </c>
      <c r="G25">
        <v>0.01</v>
      </c>
      <c r="H25">
        <v>0.24</v>
      </c>
      <c r="I25">
        <v>0.24</v>
      </c>
      <c r="J25" t="s">
        <v>14</v>
      </c>
    </row>
    <row r="26" spans="1:10" x14ac:dyDescent="0.25">
      <c r="A26">
        <v>21815</v>
      </c>
      <c r="B26">
        <v>5.2573999999999996</v>
      </c>
      <c r="C26">
        <v>5.258</v>
      </c>
      <c r="D26" s="13">
        <v>46058.545474537037</v>
      </c>
      <c r="E26" t="s">
        <v>18</v>
      </c>
      <c r="F26">
        <v>0.02</v>
      </c>
      <c r="G26">
        <v>0.02</v>
      </c>
      <c r="H26">
        <v>0.42</v>
      </c>
      <c r="I26">
        <v>0.42</v>
      </c>
      <c r="J26" t="s">
        <v>14</v>
      </c>
    </row>
    <row r="27" spans="1:10" x14ac:dyDescent="0.25">
      <c r="A27">
        <v>21816</v>
      </c>
      <c r="B27">
        <v>5.2335000000000003</v>
      </c>
      <c r="C27">
        <v>5.2340999999999998</v>
      </c>
      <c r="D27" s="13">
        <v>46059.54892361111</v>
      </c>
      <c r="E27" t="s">
        <v>18</v>
      </c>
      <c r="F27">
        <v>-0.02</v>
      </c>
      <c r="G27">
        <v>-0.02</v>
      </c>
      <c r="H27">
        <v>-0.45</v>
      </c>
      <c r="I27">
        <v>-0.45</v>
      </c>
      <c r="J27" t="s">
        <v>14</v>
      </c>
    </row>
    <row r="28" spans="1:10" x14ac:dyDescent="0.25">
      <c r="A28">
        <v>21817</v>
      </c>
      <c r="B28">
        <v>5.1936999999999998</v>
      </c>
      <c r="C28">
        <v>5.1943000000000001</v>
      </c>
      <c r="D28" s="13">
        <v>46062.548229166663</v>
      </c>
      <c r="E28" t="s">
        <v>18</v>
      </c>
      <c r="F28">
        <v>-0.04</v>
      </c>
      <c r="G28">
        <v>-0.04</v>
      </c>
      <c r="H28">
        <v>-0.76</v>
      </c>
      <c r="I28">
        <v>-0.76</v>
      </c>
      <c r="J28" t="s">
        <v>14</v>
      </c>
    </row>
    <row r="29" spans="1:10" x14ac:dyDescent="0.25">
      <c r="A29">
        <v>21818</v>
      </c>
      <c r="B29">
        <v>5.2015000000000002</v>
      </c>
      <c r="C29">
        <v>5.2020999999999997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0.15</v>
      </c>
      <c r="I29">
        <v>0.15</v>
      </c>
      <c r="J29" t="s">
        <v>14</v>
      </c>
    </row>
    <row r="30" spans="1:10" x14ac:dyDescent="0.25">
      <c r="A30">
        <v>21819</v>
      </c>
      <c r="B30">
        <v>5.1829999999999998</v>
      </c>
      <c r="C30">
        <v>5.1836000000000002</v>
      </c>
      <c r="D30" s="13">
        <v>46064.544074074074</v>
      </c>
      <c r="E30" t="s">
        <v>18</v>
      </c>
      <c r="F30">
        <v>-0.02</v>
      </c>
      <c r="G30">
        <v>-0.02</v>
      </c>
      <c r="H30">
        <v>-0.36</v>
      </c>
      <c r="I30">
        <v>-0.36</v>
      </c>
      <c r="J30" t="s">
        <v>14</v>
      </c>
    </row>
    <row r="31" spans="1:10" x14ac:dyDescent="0.25">
      <c r="A31">
        <v>21820</v>
      </c>
      <c r="B31">
        <v>5.1668000000000003</v>
      </c>
      <c r="C31">
        <v>5.1673999999999998</v>
      </c>
      <c r="D31" s="13">
        <v>46065.54488425926</v>
      </c>
      <c r="E31" t="s">
        <v>18</v>
      </c>
      <c r="F31">
        <v>-0.02</v>
      </c>
      <c r="G31">
        <v>-0.02</v>
      </c>
      <c r="H31">
        <v>-0.31</v>
      </c>
      <c r="I31">
        <v>-0.31</v>
      </c>
      <c r="J31" t="s">
        <v>14</v>
      </c>
    </row>
    <row r="32" spans="1:10" x14ac:dyDescent="0.25">
      <c r="A32">
        <v>21821</v>
      </c>
      <c r="B32">
        <v>5.2282000000000002</v>
      </c>
      <c r="C32">
        <v>5.2287999999999997</v>
      </c>
      <c r="D32" s="13">
        <v>46066.544768518521</v>
      </c>
      <c r="E32" t="s">
        <v>18</v>
      </c>
      <c r="F32">
        <v>0.06</v>
      </c>
      <c r="G32">
        <v>0.06</v>
      </c>
      <c r="H32">
        <v>1.19</v>
      </c>
      <c r="I32">
        <v>1.19</v>
      </c>
      <c r="J32" t="s">
        <v>14</v>
      </c>
    </row>
    <row r="33" spans="1:10" x14ac:dyDescent="0.25">
      <c r="A33">
        <v>21822</v>
      </c>
      <c r="B33">
        <v>5.2343000000000002</v>
      </c>
      <c r="C33">
        <v>5.2348999999999997</v>
      </c>
      <c r="D33" s="13">
        <v>46071.653113425928</v>
      </c>
      <c r="E33" t="s">
        <v>18</v>
      </c>
      <c r="F33">
        <v>0.01</v>
      </c>
      <c r="G33">
        <v>0.01</v>
      </c>
      <c r="H33">
        <v>0.12</v>
      </c>
      <c r="I33">
        <v>0.12</v>
      </c>
      <c r="J33" t="s">
        <v>14</v>
      </c>
    </row>
    <row r="34" spans="1:10" x14ac:dyDescent="0.25">
      <c r="A34">
        <v>21823</v>
      </c>
      <c r="B34">
        <v>5.2249999999999996</v>
      </c>
      <c r="C34">
        <v>5.2256999999999998</v>
      </c>
      <c r="D34" s="13">
        <v>46072.549618055556</v>
      </c>
      <c r="E34" t="s">
        <v>18</v>
      </c>
      <c r="F34">
        <v>-0.01</v>
      </c>
      <c r="G34">
        <v>-0.01</v>
      </c>
      <c r="H34">
        <v>-0.18</v>
      </c>
      <c r="I34">
        <v>-0.18</v>
      </c>
      <c r="J34" t="s">
        <v>14</v>
      </c>
    </row>
    <row r="35" spans="1:10" x14ac:dyDescent="0.25">
      <c r="A35">
        <v>21824</v>
      </c>
      <c r="B35">
        <v>5.2</v>
      </c>
      <c r="C35">
        <v>5.2005999999999997</v>
      </c>
      <c r="D35" s="13">
        <v>46073.543356481481</v>
      </c>
      <c r="E35" t="s">
        <v>18</v>
      </c>
      <c r="F35">
        <v>-0.03</v>
      </c>
      <c r="G35">
        <v>-0.02</v>
      </c>
      <c r="H35">
        <v>-0.48</v>
      </c>
      <c r="I35">
        <v>-0.48</v>
      </c>
      <c r="J35" t="s">
        <v>14</v>
      </c>
    </row>
    <row r="36" spans="1:10" x14ac:dyDescent="0.25">
      <c r="A36">
        <v>21825</v>
      </c>
      <c r="B36">
        <v>5.1628999999999996</v>
      </c>
      <c r="C36">
        <v>5.1635</v>
      </c>
      <c r="D36" s="13">
        <v>46076.543379629627</v>
      </c>
      <c r="E36" t="s">
        <v>18</v>
      </c>
      <c r="F36">
        <v>-0.04</v>
      </c>
      <c r="G36">
        <v>-0.04</v>
      </c>
      <c r="H36">
        <v>-0.71</v>
      </c>
      <c r="I36">
        <v>-0.71</v>
      </c>
      <c r="J36" t="s">
        <v>14</v>
      </c>
    </row>
    <row r="37" spans="1:10" x14ac:dyDescent="0.25">
      <c r="A37">
        <v>21826</v>
      </c>
      <c r="B37">
        <v>5.1676000000000002</v>
      </c>
      <c r="C37">
        <v>5.1681999999999997</v>
      </c>
      <c r="D37" s="13">
        <v>46077.54478009259</v>
      </c>
      <c r="E37" t="s">
        <v>18</v>
      </c>
      <c r="F37">
        <v>0</v>
      </c>
      <c r="G37">
        <v>0</v>
      </c>
      <c r="H37">
        <v>0.09</v>
      </c>
      <c r="I37">
        <v>0.09</v>
      </c>
      <c r="J37" t="s">
        <v>14</v>
      </c>
    </row>
    <row r="38" spans="1:10" x14ac:dyDescent="0.25">
      <c r="A38">
        <v>21827</v>
      </c>
      <c r="B38">
        <v>5.1433999999999997</v>
      </c>
      <c r="C38">
        <v>5.1440000000000001</v>
      </c>
      <c r="D38" s="13">
        <v>46078.54546296296</v>
      </c>
      <c r="E38" t="s">
        <v>18</v>
      </c>
      <c r="F38">
        <v>-0.02</v>
      </c>
      <c r="G38">
        <v>-0.02</v>
      </c>
      <c r="H38">
        <v>-0.47</v>
      </c>
      <c r="I38">
        <v>-0.47</v>
      </c>
      <c r="J38" t="s">
        <v>14</v>
      </c>
    </row>
    <row r="39" spans="1:10" x14ac:dyDescent="0.25">
      <c r="A39">
        <v>21828</v>
      </c>
      <c r="B39">
        <v>5.1375999999999999</v>
      </c>
      <c r="C39">
        <v>5.1382000000000003</v>
      </c>
      <c r="D39" s="13">
        <v>46079.546215277776</v>
      </c>
      <c r="E39" t="s">
        <v>18</v>
      </c>
      <c r="F39">
        <v>-0.01</v>
      </c>
      <c r="G39">
        <v>-0.01</v>
      </c>
      <c r="H39">
        <v>-0.11</v>
      </c>
      <c r="I39">
        <v>-0.11</v>
      </c>
      <c r="J39" t="s">
        <v>14</v>
      </c>
    </row>
    <row r="40" spans="1:10" x14ac:dyDescent="0.25">
      <c r="A40">
        <v>21829</v>
      </c>
      <c r="B40">
        <v>5.1489000000000003</v>
      </c>
      <c r="C40">
        <v>5.1494999999999997</v>
      </c>
      <c r="D40" s="13">
        <v>46080.543368055558</v>
      </c>
      <c r="E40" t="s">
        <v>18</v>
      </c>
      <c r="F40">
        <v>0.01</v>
      </c>
      <c r="G40">
        <v>0.01</v>
      </c>
      <c r="H40">
        <v>0.22</v>
      </c>
      <c r="I40">
        <v>0.22</v>
      </c>
      <c r="J40" t="s">
        <v>14</v>
      </c>
    </row>
    <row r="41" spans="1:10" x14ac:dyDescent="0.25">
      <c r="A41">
        <v>21830</v>
      </c>
      <c r="B41">
        <v>5.1994999999999996</v>
      </c>
      <c r="C41">
        <v>5.2000999999999999</v>
      </c>
      <c r="D41" s="13">
        <v>46083.548217592594</v>
      </c>
      <c r="E41" t="s">
        <v>19</v>
      </c>
      <c r="F41">
        <v>0.05</v>
      </c>
      <c r="G41">
        <v>0.05</v>
      </c>
      <c r="H41">
        <v>0.98</v>
      </c>
      <c r="I41">
        <v>0.98</v>
      </c>
      <c r="J41" t="s">
        <v>14</v>
      </c>
    </row>
    <row r="42" spans="1:10" x14ac:dyDescent="0.25">
      <c r="A42">
        <v>21831</v>
      </c>
      <c r="B42">
        <v>5.2864000000000004</v>
      </c>
      <c r="C42">
        <v>5.2869999999999999</v>
      </c>
      <c r="D42" s="13">
        <v>46084.548935185187</v>
      </c>
      <c r="E42" t="s">
        <v>19</v>
      </c>
      <c r="F42">
        <v>0.09</v>
      </c>
      <c r="G42">
        <v>0.09</v>
      </c>
      <c r="H42">
        <v>1.67</v>
      </c>
      <c r="I42">
        <v>1.67</v>
      </c>
      <c r="J42" t="s">
        <v>14</v>
      </c>
    </row>
    <row r="43" spans="1:10" x14ac:dyDescent="0.25">
      <c r="A43">
        <v>21832</v>
      </c>
      <c r="B43">
        <v>5.2084999999999999</v>
      </c>
      <c r="C43">
        <v>5.2091000000000003</v>
      </c>
      <c r="D43" s="13">
        <v>46085.546840277777</v>
      </c>
      <c r="E43" t="s">
        <v>19</v>
      </c>
      <c r="F43">
        <v>-0.08</v>
      </c>
      <c r="G43">
        <v>-0.08</v>
      </c>
      <c r="H43">
        <v>-1.47</v>
      </c>
      <c r="I43">
        <v>-1.47</v>
      </c>
      <c r="J43" t="s">
        <v>14</v>
      </c>
    </row>
    <row r="44" spans="1:10" x14ac:dyDescent="0.25">
      <c r="A44">
        <v>21833</v>
      </c>
      <c r="B44">
        <v>5.2441000000000004</v>
      </c>
      <c r="C44">
        <v>5.2446999999999999</v>
      </c>
      <c r="D44" s="13">
        <v>46086.54409722222</v>
      </c>
      <c r="E44" t="s">
        <v>19</v>
      </c>
      <c r="F44">
        <v>0.04</v>
      </c>
      <c r="G44">
        <v>0.04</v>
      </c>
      <c r="H44">
        <v>0.68</v>
      </c>
      <c r="I44">
        <v>0.68</v>
      </c>
      <c r="J44" t="s">
        <v>14</v>
      </c>
    </row>
    <row r="45" spans="1:10" x14ac:dyDescent="0.25">
      <c r="A45">
        <v>21834</v>
      </c>
      <c r="B45">
        <v>5.2872000000000003</v>
      </c>
      <c r="C45">
        <v>5.2877999999999998</v>
      </c>
      <c r="D45" s="13">
        <v>46087.548935185187</v>
      </c>
      <c r="E45" t="s">
        <v>19</v>
      </c>
      <c r="F45">
        <v>0.04</v>
      </c>
      <c r="G45">
        <v>0.04</v>
      </c>
      <c r="H45">
        <v>0.82</v>
      </c>
      <c r="I45">
        <v>0.82</v>
      </c>
      <c r="J45" t="s">
        <v>14</v>
      </c>
    </row>
    <row r="46" spans="1:10" x14ac:dyDescent="0.25">
      <c r="A46">
        <v>21835</v>
      </c>
      <c r="B46">
        <v>5.2133000000000003</v>
      </c>
      <c r="C46">
        <v>5.2138999999999998</v>
      </c>
      <c r="D46" s="13">
        <v>46090.548935185187</v>
      </c>
      <c r="E46" t="s">
        <v>19</v>
      </c>
      <c r="F46">
        <v>-7.0000000000000007E-2</v>
      </c>
      <c r="G46">
        <v>-7.0000000000000007E-2</v>
      </c>
      <c r="H46">
        <v>-1.4</v>
      </c>
      <c r="I46">
        <v>-1.4</v>
      </c>
      <c r="J46" t="s">
        <v>14</v>
      </c>
    </row>
    <row r="47" spans="1:10" x14ac:dyDescent="0.25">
      <c r="A47">
        <v>21836</v>
      </c>
      <c r="B47">
        <v>5.1616</v>
      </c>
      <c r="C47">
        <v>5.1622000000000003</v>
      </c>
      <c r="D47" s="13">
        <v>46091.548217592594</v>
      </c>
      <c r="E47" t="s">
        <v>19</v>
      </c>
      <c r="F47">
        <v>-0.05</v>
      </c>
      <c r="G47">
        <v>-0.05</v>
      </c>
      <c r="H47">
        <v>-0.99</v>
      </c>
      <c r="I47">
        <v>-0.99</v>
      </c>
      <c r="J47" t="s">
        <v>14</v>
      </c>
    </row>
    <row r="48" spans="1:10" x14ac:dyDescent="0.25">
      <c r="A48">
        <v>21837</v>
      </c>
      <c r="B48">
        <v>5.1589999999999998</v>
      </c>
      <c r="C48">
        <v>5.1596000000000002</v>
      </c>
      <c r="D48" s="13">
        <v>46092.544745370367</v>
      </c>
      <c r="E48" t="s">
        <v>19</v>
      </c>
      <c r="F48">
        <v>0</v>
      </c>
      <c r="G48">
        <v>0</v>
      </c>
      <c r="H48">
        <v>-0.05</v>
      </c>
      <c r="I48">
        <v>-0.05</v>
      </c>
      <c r="J48" t="s">
        <v>14</v>
      </c>
    </row>
    <row r="49" spans="1:10" x14ac:dyDescent="0.25">
      <c r="A49">
        <v>21838</v>
      </c>
      <c r="B49">
        <v>5.2045000000000003</v>
      </c>
      <c r="C49">
        <v>5.2050999999999998</v>
      </c>
      <c r="D49" s="13">
        <v>46093.548946759256</v>
      </c>
      <c r="E49" t="s">
        <v>19</v>
      </c>
      <c r="F49">
        <v>0.05</v>
      </c>
      <c r="G49">
        <v>0.05</v>
      </c>
      <c r="H49">
        <v>0.88</v>
      </c>
      <c r="I49">
        <v>0.88</v>
      </c>
      <c r="J49" t="s">
        <v>14</v>
      </c>
    </row>
    <row r="50" spans="1:10" x14ac:dyDescent="0.25">
      <c r="A50">
        <v>21839</v>
      </c>
      <c r="B50">
        <v>5.2534999999999998</v>
      </c>
      <c r="C50">
        <v>5.2541000000000002</v>
      </c>
      <c r="D50" s="13">
        <v>46094.544085648151</v>
      </c>
      <c r="E50" t="s">
        <v>19</v>
      </c>
      <c r="F50">
        <v>0.05</v>
      </c>
      <c r="G50">
        <v>0.05</v>
      </c>
      <c r="H50">
        <v>0.94</v>
      </c>
      <c r="I50">
        <v>0.94</v>
      </c>
      <c r="J50" t="s">
        <v>14</v>
      </c>
    </row>
    <row r="51" spans="1:10" x14ac:dyDescent="0.25">
      <c r="A51">
        <v>21840</v>
      </c>
      <c r="B51">
        <v>5.2641</v>
      </c>
      <c r="C51">
        <v>5.2647000000000004</v>
      </c>
      <c r="D51" s="13">
        <v>46097.547511574077</v>
      </c>
      <c r="E51" t="s">
        <v>19</v>
      </c>
      <c r="F51">
        <v>0.01</v>
      </c>
      <c r="G51">
        <v>0.01</v>
      </c>
      <c r="H51">
        <v>0.2</v>
      </c>
      <c r="I51">
        <v>0.2</v>
      </c>
      <c r="J51" t="s">
        <v>14</v>
      </c>
    </row>
    <row r="52" spans="1:10" x14ac:dyDescent="0.25">
      <c r="A52">
        <v>21841</v>
      </c>
      <c r="B52">
        <v>5.2016</v>
      </c>
      <c r="C52">
        <v>5.2022000000000004</v>
      </c>
      <c r="D52" s="13">
        <v>46098.548298611109</v>
      </c>
      <c r="E52" t="s">
        <v>19</v>
      </c>
      <c r="F52">
        <v>-0.06</v>
      </c>
      <c r="G52">
        <v>-0.06</v>
      </c>
      <c r="H52">
        <v>-1.19</v>
      </c>
      <c r="I52">
        <v>-1.19</v>
      </c>
      <c r="J52" t="s">
        <v>14</v>
      </c>
    </row>
    <row r="53" spans="1:10" x14ac:dyDescent="0.25">
      <c r="A53">
        <v>21842</v>
      </c>
      <c r="B53">
        <v>5.2106000000000003</v>
      </c>
      <c r="C53">
        <v>5.2111999999999998</v>
      </c>
      <c r="D53" s="13">
        <v>46099.54760416667</v>
      </c>
      <c r="E53" t="s">
        <v>19</v>
      </c>
      <c r="F53">
        <v>0.01</v>
      </c>
      <c r="G53">
        <v>0.01</v>
      </c>
      <c r="H53">
        <v>0.17</v>
      </c>
      <c r="I53">
        <v>0.17</v>
      </c>
      <c r="J53" t="s">
        <v>14</v>
      </c>
    </row>
    <row r="54" spans="1:10" x14ac:dyDescent="0.25">
      <c r="A54">
        <v>21843</v>
      </c>
      <c r="B54">
        <v>5.2580999999999998</v>
      </c>
      <c r="C54">
        <v>5.2587000000000002</v>
      </c>
      <c r="D54" s="13">
        <v>46100.543368055558</v>
      </c>
      <c r="E54" t="s">
        <v>19</v>
      </c>
      <c r="F54">
        <v>0.05</v>
      </c>
      <c r="G54">
        <v>0.05</v>
      </c>
      <c r="H54">
        <v>0.91</v>
      </c>
      <c r="I54">
        <v>0.91</v>
      </c>
      <c r="J54" t="s">
        <v>14</v>
      </c>
    </row>
    <row r="55" spans="1:10" x14ac:dyDescent="0.25">
      <c r="A55">
        <v>21844</v>
      </c>
      <c r="B55">
        <v>5.2793000000000001</v>
      </c>
      <c r="C55">
        <v>5.28</v>
      </c>
      <c r="D55" s="13">
        <v>46101.549629629626</v>
      </c>
      <c r="E55" t="s">
        <v>19</v>
      </c>
      <c r="F55">
        <v>0.02</v>
      </c>
      <c r="G55">
        <v>0.02</v>
      </c>
      <c r="H55">
        <v>0.41</v>
      </c>
      <c r="I55">
        <v>0.4</v>
      </c>
      <c r="J55" t="s">
        <v>14</v>
      </c>
    </row>
    <row r="56" spans="1:10" x14ac:dyDescent="0.25">
      <c r="A56">
        <v>21845</v>
      </c>
      <c r="B56">
        <v>5.2434000000000003</v>
      </c>
      <c r="C56">
        <v>5.2439999999999998</v>
      </c>
      <c r="D56" s="13">
        <v>46104.549629629626</v>
      </c>
      <c r="E56" t="s">
        <v>19</v>
      </c>
      <c r="F56">
        <v>-0.04</v>
      </c>
      <c r="G56">
        <v>-0.04</v>
      </c>
      <c r="H56">
        <v>-0.68</v>
      </c>
      <c r="I56">
        <v>-0.68</v>
      </c>
      <c r="J56" t="s">
        <v>14</v>
      </c>
    </row>
    <row r="57" spans="1:10" x14ac:dyDescent="0.25">
      <c r="A57">
        <v>21846</v>
      </c>
      <c r="B57">
        <v>5.2592999999999996</v>
      </c>
      <c r="C57">
        <v>5.2599</v>
      </c>
      <c r="D57" s="13">
        <v>46105.548252314817</v>
      </c>
      <c r="E57" t="s">
        <v>19</v>
      </c>
      <c r="F57">
        <v>0.02</v>
      </c>
      <c r="G57">
        <v>0.02</v>
      </c>
      <c r="H57">
        <v>0.3</v>
      </c>
      <c r="I57">
        <v>0.3</v>
      </c>
      <c r="J57" t="s">
        <v>14</v>
      </c>
    </row>
    <row r="58" spans="1:10" x14ac:dyDescent="0.25">
      <c r="A58">
        <v>21847</v>
      </c>
      <c r="B58">
        <v>5.2268999999999997</v>
      </c>
      <c r="C58">
        <v>5.2275</v>
      </c>
      <c r="D58" s="13">
        <v>46106.547615740739</v>
      </c>
      <c r="E58" t="s">
        <v>19</v>
      </c>
      <c r="F58">
        <v>-0.03</v>
      </c>
      <c r="G58">
        <v>-0.03</v>
      </c>
      <c r="H58">
        <v>-0.62</v>
      </c>
      <c r="I58">
        <v>-0.62</v>
      </c>
      <c r="J58" t="s">
        <v>14</v>
      </c>
    </row>
    <row r="59" spans="1:10" x14ac:dyDescent="0.25">
      <c r="A59">
        <v>21848</v>
      </c>
      <c r="B59">
        <v>5.2302</v>
      </c>
      <c r="C59">
        <v>5.2308000000000003</v>
      </c>
      <c r="D59" s="13">
        <v>46107.549409722225</v>
      </c>
      <c r="E59" t="s">
        <v>19</v>
      </c>
      <c r="F59">
        <v>0</v>
      </c>
      <c r="G59">
        <v>0</v>
      </c>
      <c r="H59">
        <v>0.06</v>
      </c>
      <c r="I59">
        <v>0.06</v>
      </c>
      <c r="J59" t="s">
        <v>14</v>
      </c>
    </row>
    <row r="60" spans="1:10" x14ac:dyDescent="0.25">
      <c r="A60">
        <v>21849</v>
      </c>
      <c r="B60">
        <v>5.2370000000000001</v>
      </c>
      <c r="C60">
        <v>5.2375999999999996</v>
      </c>
      <c r="D60" s="13">
        <v>46108.549791666665</v>
      </c>
      <c r="E60" t="s">
        <v>19</v>
      </c>
      <c r="F60">
        <v>0.01</v>
      </c>
      <c r="G60">
        <v>0.01</v>
      </c>
      <c r="H60">
        <v>0.13</v>
      </c>
      <c r="I60">
        <v>0.13</v>
      </c>
      <c r="J60" t="s">
        <v>14</v>
      </c>
    </row>
    <row r="61" spans="1:10" x14ac:dyDescent="0.25">
      <c r="A61">
        <v>21850</v>
      </c>
      <c r="B61">
        <v>5.2347000000000001</v>
      </c>
      <c r="C61">
        <v>5.2352999999999996</v>
      </c>
      <c r="D61" s="13">
        <v>46111.548935185187</v>
      </c>
      <c r="E61" t="s">
        <v>19</v>
      </c>
      <c r="F61">
        <v>0</v>
      </c>
      <c r="G61">
        <v>0</v>
      </c>
      <c r="H61">
        <v>-0.04</v>
      </c>
      <c r="I61">
        <v>-0.04</v>
      </c>
      <c r="J61" t="s">
        <v>14</v>
      </c>
    </row>
    <row r="62" spans="1:10" x14ac:dyDescent="0.25">
      <c r="A62">
        <v>21851</v>
      </c>
      <c r="B62">
        <v>5.2187999999999999</v>
      </c>
      <c r="C62">
        <v>5.2194000000000003</v>
      </c>
      <c r="D62" s="13">
        <v>46112.544710648152</v>
      </c>
      <c r="E62" t="s">
        <v>19</v>
      </c>
      <c r="F62">
        <v>-0.02</v>
      </c>
      <c r="G62">
        <v>-0.02</v>
      </c>
      <c r="H62">
        <v>-0.3</v>
      </c>
      <c r="I62">
        <v>-0.3</v>
      </c>
      <c r="J62" t="s">
        <v>14</v>
      </c>
    </row>
    <row r="63" spans="1:10" x14ac:dyDescent="0.25">
      <c r="A63">
        <v>21852</v>
      </c>
      <c r="B63">
        <v>5.16</v>
      </c>
      <c r="C63">
        <v>5.1605999999999996</v>
      </c>
      <c r="D63" s="13">
        <v>46113.546157407407</v>
      </c>
      <c r="E63" t="s">
        <v>20</v>
      </c>
      <c r="F63">
        <v>-0.06</v>
      </c>
      <c r="G63">
        <v>-0.06</v>
      </c>
      <c r="H63">
        <v>-1.1299999999999999</v>
      </c>
      <c r="I63">
        <v>-1.1299999999999999</v>
      </c>
      <c r="J63" t="s">
        <v>14</v>
      </c>
    </row>
    <row r="64" spans="1:10" x14ac:dyDescent="0.25">
      <c r="A64">
        <v>21853</v>
      </c>
      <c r="B64">
        <v>5.1649000000000003</v>
      </c>
      <c r="C64">
        <v>5.1654999999999998</v>
      </c>
      <c r="D64" s="13">
        <v>46114.54892361111</v>
      </c>
      <c r="E64" t="s">
        <v>20</v>
      </c>
      <c r="F64">
        <v>0</v>
      </c>
      <c r="G64">
        <v>0</v>
      </c>
      <c r="H64">
        <v>0.09</v>
      </c>
      <c r="I64">
        <v>0.09</v>
      </c>
      <c r="J64" t="s">
        <v>14</v>
      </c>
    </row>
    <row r="65" spans="1:10" x14ac:dyDescent="0.25">
      <c r="A65">
        <v>21854</v>
      </c>
      <c r="B65">
        <v>5.1525999999999996</v>
      </c>
      <c r="C65">
        <v>5.1532</v>
      </c>
      <c r="D65" s="13">
        <v>46118.546122685184</v>
      </c>
      <c r="E65" t="s">
        <v>20</v>
      </c>
      <c r="F65">
        <v>-0.01</v>
      </c>
      <c r="G65">
        <v>-0.01</v>
      </c>
      <c r="H65">
        <v>-0.24</v>
      </c>
      <c r="I65">
        <v>-0.24</v>
      </c>
      <c r="J65" t="s">
        <v>14</v>
      </c>
    </row>
    <row r="66" spans="1:10" x14ac:dyDescent="0.25">
      <c r="A66">
        <v>21855</v>
      </c>
      <c r="B66">
        <v>5.1619000000000002</v>
      </c>
      <c r="C66">
        <v>5.1624999999999996</v>
      </c>
      <c r="D66" s="13">
        <v>46119.547523148147</v>
      </c>
      <c r="E66" t="s">
        <v>20</v>
      </c>
      <c r="F66">
        <v>0.01</v>
      </c>
      <c r="G66">
        <v>0.01</v>
      </c>
      <c r="H66">
        <v>0.18</v>
      </c>
      <c r="I66">
        <v>0.18</v>
      </c>
      <c r="J66" t="s">
        <v>14</v>
      </c>
    </row>
    <row r="67" spans="1:10" x14ac:dyDescent="0.25">
      <c r="A67">
        <v>21856</v>
      </c>
      <c r="B67">
        <v>5.0892999999999997</v>
      </c>
      <c r="C67">
        <v>5.0899000000000001</v>
      </c>
      <c r="D67" s="13">
        <v>46120.543391203704</v>
      </c>
      <c r="E67" t="s">
        <v>20</v>
      </c>
      <c r="F67">
        <v>-7.0000000000000007E-2</v>
      </c>
      <c r="G67">
        <v>-7.0000000000000007E-2</v>
      </c>
      <c r="H67">
        <v>-1.41</v>
      </c>
      <c r="I67">
        <v>-1.41</v>
      </c>
      <c r="J67" t="s">
        <v>14</v>
      </c>
    </row>
    <row r="68" spans="1:10" x14ac:dyDescent="0.25">
      <c r="A68">
        <v>21857</v>
      </c>
      <c r="B68">
        <v>5.0815000000000001</v>
      </c>
      <c r="C68">
        <v>5.0820999999999996</v>
      </c>
      <c r="D68" s="13">
        <v>46121.548958333333</v>
      </c>
      <c r="E68" t="s">
        <v>20</v>
      </c>
      <c r="F68">
        <v>-0.01</v>
      </c>
      <c r="G68">
        <v>-0.01</v>
      </c>
      <c r="H68">
        <v>-0.15</v>
      </c>
      <c r="I68">
        <v>-0.15</v>
      </c>
      <c r="J68" t="s">
        <v>14</v>
      </c>
    </row>
    <row r="69" spans="1:10" x14ac:dyDescent="0.25">
      <c r="A69">
        <v>21858</v>
      </c>
      <c r="B69">
        <v>5.0223000000000004</v>
      </c>
      <c r="C69">
        <v>5.0228999999999999</v>
      </c>
      <c r="D69" s="13">
        <v>46122.544733796298</v>
      </c>
      <c r="E69" t="s">
        <v>20</v>
      </c>
      <c r="F69">
        <v>-0.06</v>
      </c>
      <c r="G69">
        <v>-0.06</v>
      </c>
      <c r="H69">
        <v>-1.1599999999999999</v>
      </c>
      <c r="I69">
        <v>-1.17</v>
      </c>
      <c r="J69" t="s">
        <v>14</v>
      </c>
    </row>
    <row r="70" spans="1:10" x14ac:dyDescent="0.25">
      <c r="A70">
        <v>21859</v>
      </c>
      <c r="B70">
        <v>5.0237999999999996</v>
      </c>
      <c r="C70">
        <v>5.0244</v>
      </c>
      <c r="D70" s="13">
        <v>46125.545069444444</v>
      </c>
      <c r="E70" t="s">
        <v>20</v>
      </c>
      <c r="F70">
        <v>0</v>
      </c>
      <c r="G70">
        <v>0</v>
      </c>
      <c r="H70">
        <v>0.03</v>
      </c>
      <c r="I70">
        <v>0.03</v>
      </c>
      <c r="J70" t="s">
        <v>14</v>
      </c>
    </row>
    <row r="71" spans="1:10" x14ac:dyDescent="0.25">
      <c r="A71">
        <v>21860</v>
      </c>
      <c r="B71">
        <v>4.9800000000000004</v>
      </c>
      <c r="C71">
        <v>4.9805999999999999</v>
      </c>
      <c r="D71" s="13">
        <v>46126.544062499997</v>
      </c>
      <c r="E71" t="s">
        <v>20</v>
      </c>
      <c r="F71">
        <v>-0.04</v>
      </c>
      <c r="G71">
        <v>-0.04</v>
      </c>
      <c r="H71">
        <v>-0.87</v>
      </c>
      <c r="I71">
        <v>-0.87</v>
      </c>
      <c r="J71" t="s">
        <v>14</v>
      </c>
    </row>
    <row r="72" spans="1:10" x14ac:dyDescent="0.25">
      <c r="A72">
        <v>21861</v>
      </c>
      <c r="B72">
        <v>4.9922000000000004</v>
      </c>
      <c r="C72">
        <v>4.9927999999999999</v>
      </c>
      <c r="D72" s="13">
        <v>46127.546134259261</v>
      </c>
      <c r="E72" t="s">
        <v>20</v>
      </c>
      <c r="F72">
        <v>0.01</v>
      </c>
      <c r="G72">
        <v>0.01</v>
      </c>
      <c r="H72">
        <v>0.24</v>
      </c>
      <c r="I72">
        <v>0.24</v>
      </c>
      <c r="J72" t="s">
        <v>14</v>
      </c>
    </row>
    <row r="73" spans="1:10" x14ac:dyDescent="0.25">
      <c r="A73">
        <v>21862</v>
      </c>
      <c r="B73">
        <v>5.0000999999999998</v>
      </c>
      <c r="C73">
        <v>5.0007000000000001</v>
      </c>
      <c r="D73" s="13">
        <v>46128.544085648151</v>
      </c>
      <c r="E73" t="s">
        <v>20</v>
      </c>
      <c r="F73">
        <v>0.01</v>
      </c>
      <c r="G73">
        <v>0.01</v>
      </c>
      <c r="H73">
        <v>0.16</v>
      </c>
      <c r="I73">
        <v>0.16</v>
      </c>
      <c r="J73" t="s">
        <v>14</v>
      </c>
    </row>
    <row r="74" spans="1:10" x14ac:dyDescent="0.25">
      <c r="A74">
        <v>21863</v>
      </c>
      <c r="B74">
        <v>4.9688999999999997</v>
      </c>
      <c r="C74">
        <v>4.9695</v>
      </c>
      <c r="D74" s="13">
        <v>46129.548229166663</v>
      </c>
      <c r="E74" t="s">
        <v>20</v>
      </c>
      <c r="F74">
        <v>-0.03</v>
      </c>
      <c r="G74">
        <v>-0.03</v>
      </c>
      <c r="H74">
        <v>-0.62</v>
      </c>
      <c r="I74">
        <v>-0.62</v>
      </c>
      <c r="J74" t="s">
        <v>14</v>
      </c>
    </row>
    <row r="75" spans="1:10" x14ac:dyDescent="0.25">
      <c r="A75">
        <v>21864</v>
      </c>
      <c r="B75">
        <v>4.9837999999999996</v>
      </c>
      <c r="C75">
        <v>4.9843999999999999</v>
      </c>
      <c r="D75" s="13">
        <v>46132.543356481481</v>
      </c>
      <c r="E75" t="s">
        <v>20</v>
      </c>
      <c r="F75">
        <v>0.01</v>
      </c>
      <c r="G75">
        <v>0.01</v>
      </c>
      <c r="H75">
        <v>0.3</v>
      </c>
      <c r="I75">
        <v>0.3</v>
      </c>
      <c r="J75" t="s">
        <v>14</v>
      </c>
    </row>
    <row r="76" spans="1:10" x14ac:dyDescent="0.25">
      <c r="A76">
        <v>21865</v>
      </c>
      <c r="B76">
        <v>4.9646999999999997</v>
      </c>
      <c r="C76">
        <v>4.9653</v>
      </c>
      <c r="D76" s="13">
        <v>46134.549629629626</v>
      </c>
      <c r="E76" t="s">
        <v>20</v>
      </c>
      <c r="F76">
        <v>-0.02</v>
      </c>
      <c r="G76">
        <v>-0.02</v>
      </c>
      <c r="H76">
        <v>-0.38</v>
      </c>
      <c r="I76">
        <v>-0.38</v>
      </c>
      <c r="J76" t="s">
        <v>14</v>
      </c>
    </row>
    <row r="77" spans="1:10" x14ac:dyDescent="0.25">
      <c r="A77">
        <v>21866</v>
      </c>
      <c r="B77">
        <v>4.9532999999999996</v>
      </c>
      <c r="C77">
        <v>4.9539</v>
      </c>
      <c r="D77" s="13">
        <v>46135.544050925928</v>
      </c>
      <c r="E77" t="s">
        <v>20</v>
      </c>
      <c r="F77">
        <v>-0.01</v>
      </c>
      <c r="G77">
        <v>-0.01</v>
      </c>
      <c r="H77">
        <v>-0.23</v>
      </c>
      <c r="I77">
        <v>-0.23</v>
      </c>
      <c r="J77" t="s">
        <v>14</v>
      </c>
    </row>
    <row r="78" spans="1:10" x14ac:dyDescent="0.25">
      <c r="A78">
        <v>21867</v>
      </c>
      <c r="B78">
        <v>5.0076999999999998</v>
      </c>
      <c r="C78">
        <v>5.0083000000000002</v>
      </c>
      <c r="D78" s="13">
        <v>46136.546018518522</v>
      </c>
      <c r="E78" t="s">
        <v>20</v>
      </c>
      <c r="F78">
        <v>0.05</v>
      </c>
      <c r="G78">
        <v>0.05</v>
      </c>
      <c r="H78">
        <v>1.1000000000000001</v>
      </c>
      <c r="I78">
        <v>1.1000000000000001</v>
      </c>
      <c r="J78" t="s">
        <v>14</v>
      </c>
    </row>
    <row r="79" spans="1:10" x14ac:dyDescent="0.25">
      <c r="A79">
        <v>21868</v>
      </c>
      <c r="B79">
        <v>4.9694000000000003</v>
      </c>
      <c r="C79">
        <v>4.97</v>
      </c>
      <c r="D79" s="13">
        <v>46139.545995370368</v>
      </c>
      <c r="E79" t="s">
        <v>20</v>
      </c>
      <c r="F79">
        <v>-0.04</v>
      </c>
      <c r="G79">
        <v>-0.04</v>
      </c>
      <c r="H79">
        <v>-0.76</v>
      </c>
      <c r="I79">
        <v>-0.76</v>
      </c>
      <c r="J79" t="s">
        <v>14</v>
      </c>
    </row>
    <row r="80" spans="1:10" x14ac:dyDescent="0.25">
      <c r="A80">
        <v>21869</v>
      </c>
      <c r="B80">
        <v>4.9871999999999996</v>
      </c>
      <c r="C80">
        <v>4.9878</v>
      </c>
      <c r="D80" s="13">
        <v>46140.54891203704</v>
      </c>
      <c r="E80" t="s">
        <v>20</v>
      </c>
      <c r="F80">
        <v>0.02</v>
      </c>
      <c r="G80">
        <v>0.02</v>
      </c>
      <c r="H80">
        <v>0.36</v>
      </c>
      <c r="I80">
        <v>0.36</v>
      </c>
      <c r="J80" t="s">
        <v>14</v>
      </c>
    </row>
    <row r="81" spans="1:10" x14ac:dyDescent="0.25">
      <c r="A81">
        <v>21870</v>
      </c>
      <c r="B81">
        <v>4.9978999999999996</v>
      </c>
      <c r="C81">
        <v>4.9984999999999999</v>
      </c>
      <c r="D81" s="13">
        <v>46141.54959490741</v>
      </c>
      <c r="E81" t="s">
        <v>20</v>
      </c>
      <c r="F81">
        <v>0.01</v>
      </c>
      <c r="G81">
        <v>0.01</v>
      </c>
      <c r="H81">
        <v>0.21</v>
      </c>
      <c r="I81">
        <v>0.21</v>
      </c>
      <c r="J81" t="s">
        <v>14</v>
      </c>
    </row>
    <row r="82" spans="1:10" x14ac:dyDescent="0.25">
      <c r="A82">
        <v>21871</v>
      </c>
      <c r="B82">
        <v>4.9880000000000004</v>
      </c>
      <c r="C82">
        <v>4.9885999999999999</v>
      </c>
      <c r="D82" s="13">
        <v>46142.546157407407</v>
      </c>
      <c r="E82" t="s">
        <v>20</v>
      </c>
      <c r="F82">
        <v>-0.01</v>
      </c>
      <c r="G82">
        <v>-0.01</v>
      </c>
      <c r="H82">
        <v>-0.2</v>
      </c>
      <c r="I82">
        <v>-0.2</v>
      </c>
      <c r="J82" t="s">
        <v>14</v>
      </c>
    </row>
    <row r="83" spans="1:10" x14ac:dyDescent="0.25">
      <c r="A83">
        <v>21872</v>
      </c>
      <c r="B83">
        <v>4.9581</v>
      </c>
      <c r="C83">
        <v>4.9587000000000003</v>
      </c>
      <c r="D83" s="13">
        <v>46146.548217592594</v>
      </c>
      <c r="E83" t="s">
        <v>21</v>
      </c>
      <c r="F83">
        <v>-0.03</v>
      </c>
      <c r="G83">
        <v>-0.03</v>
      </c>
      <c r="H83">
        <v>-0.6</v>
      </c>
      <c r="I83">
        <v>-0.6</v>
      </c>
      <c r="J83" t="s">
        <v>14</v>
      </c>
    </row>
    <row r="84" spans="1:10" x14ac:dyDescent="0.25">
      <c r="A84">
        <v>21873</v>
      </c>
      <c r="B84">
        <v>4.9236000000000004</v>
      </c>
      <c r="C84">
        <v>4.9241999999999999</v>
      </c>
      <c r="D84" s="13">
        <v>46147.544745370367</v>
      </c>
      <c r="E84" t="s">
        <v>21</v>
      </c>
      <c r="F84">
        <v>-0.03</v>
      </c>
      <c r="G84">
        <v>-0.03</v>
      </c>
      <c r="H84">
        <v>-0.7</v>
      </c>
      <c r="I84">
        <v>-0.7</v>
      </c>
      <c r="J84" t="s">
        <v>14</v>
      </c>
    </row>
    <row r="85" spans="1:10" x14ac:dyDescent="0.25">
      <c r="A85">
        <v>21874</v>
      </c>
      <c r="B85">
        <v>4.9268000000000001</v>
      </c>
      <c r="C85">
        <v>4.9273999999999996</v>
      </c>
      <c r="D85" s="13">
        <v>46148.547546296293</v>
      </c>
      <c r="E85" t="s">
        <v>21</v>
      </c>
      <c r="F85">
        <v>0</v>
      </c>
      <c r="G85">
        <v>0</v>
      </c>
      <c r="H85">
        <v>0.06</v>
      </c>
      <c r="I85">
        <v>0.06</v>
      </c>
      <c r="J85" t="s">
        <v>14</v>
      </c>
    </row>
    <row r="86" spans="1:10" x14ac:dyDescent="0.25">
      <c r="A86">
        <v>21875</v>
      </c>
      <c r="B86">
        <v>4.9164000000000003</v>
      </c>
      <c r="C86">
        <v>4.9169999999999998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-0.21</v>
      </c>
      <c r="I86">
        <v>-0.21</v>
      </c>
      <c r="J86" t="s">
        <v>14</v>
      </c>
    </row>
    <row r="87" spans="1:10" x14ac:dyDescent="0.25">
      <c r="A87">
        <v>21876</v>
      </c>
      <c r="B87">
        <v>4.8993000000000002</v>
      </c>
      <c r="C87">
        <v>4.8998999999999997</v>
      </c>
      <c r="D87" s="13">
        <v>46150.54550925926</v>
      </c>
      <c r="E87" t="s">
        <v>21</v>
      </c>
      <c r="F87">
        <v>-0.02</v>
      </c>
      <c r="G87">
        <v>-0.02</v>
      </c>
      <c r="H87">
        <v>-0.35</v>
      </c>
      <c r="I87">
        <v>-0.35</v>
      </c>
      <c r="J87" t="s">
        <v>14</v>
      </c>
    </row>
    <row r="88" spans="1:10" x14ac:dyDescent="0.25">
      <c r="A88">
        <v>21877</v>
      </c>
      <c r="B88">
        <v>4.8967000000000001</v>
      </c>
      <c r="C88">
        <v>4.8973000000000004</v>
      </c>
      <c r="D88" s="13">
        <v>46153.547511574077</v>
      </c>
      <c r="E88" t="s">
        <v>21</v>
      </c>
      <c r="F88">
        <v>0</v>
      </c>
      <c r="G88">
        <v>0</v>
      </c>
      <c r="H88">
        <v>-0.05</v>
      </c>
      <c r="I88">
        <v>-0.05</v>
      </c>
      <c r="J88" t="s">
        <v>14</v>
      </c>
    </row>
    <row r="89" spans="1:10" x14ac:dyDescent="0.25">
      <c r="A89">
        <v>21878</v>
      </c>
      <c r="B89">
        <v>4.8971</v>
      </c>
      <c r="C89">
        <v>4.8977000000000004</v>
      </c>
      <c r="D89" s="13">
        <v>46154.549618055556</v>
      </c>
      <c r="E89" t="s">
        <v>21</v>
      </c>
      <c r="F89">
        <v>0</v>
      </c>
      <c r="G89">
        <v>0</v>
      </c>
      <c r="H89">
        <v>0.01</v>
      </c>
      <c r="I89">
        <v>0.01</v>
      </c>
      <c r="J89" t="s">
        <v>14</v>
      </c>
    </row>
    <row r="90" spans="1:10" x14ac:dyDescent="0.25">
      <c r="A90">
        <v>21879</v>
      </c>
      <c r="B90">
        <v>4.9112</v>
      </c>
      <c r="C90">
        <v>4.9118000000000004</v>
      </c>
      <c r="D90" s="13">
        <v>46155.554108796299</v>
      </c>
      <c r="E90" t="s">
        <v>21</v>
      </c>
      <c r="F90">
        <v>0.01</v>
      </c>
      <c r="G90">
        <v>0.01</v>
      </c>
      <c r="H90">
        <v>0.28999999999999998</v>
      </c>
      <c r="I90">
        <v>0.28999999999999998</v>
      </c>
      <c r="J90" t="s">
        <v>14</v>
      </c>
    </row>
    <row r="91" spans="1:10" x14ac:dyDescent="0.25">
      <c r="A91">
        <v>21880</v>
      </c>
      <c r="B91">
        <v>4.9802999999999997</v>
      </c>
      <c r="C91">
        <v>4.9809000000000001</v>
      </c>
      <c r="D91" s="13">
        <v>46156.543923611112</v>
      </c>
      <c r="E91" t="s">
        <v>21</v>
      </c>
      <c r="F91">
        <v>7.0000000000000007E-2</v>
      </c>
      <c r="G91">
        <v>7.0000000000000007E-2</v>
      </c>
      <c r="H91">
        <v>1.41</v>
      </c>
      <c r="I91">
        <v>1.41</v>
      </c>
      <c r="J91" t="s">
        <v>14</v>
      </c>
    </row>
    <row r="92" spans="1:10" x14ac:dyDescent="0.25">
      <c r="A92">
        <v>21881</v>
      </c>
      <c r="B92">
        <v>5.0648</v>
      </c>
      <c r="C92">
        <v>5.0654000000000003</v>
      </c>
      <c r="D92" s="13">
        <v>46157.547534722224</v>
      </c>
      <c r="E92" t="s">
        <v>21</v>
      </c>
      <c r="F92">
        <v>0.08</v>
      </c>
      <c r="G92">
        <v>0.08</v>
      </c>
      <c r="H92">
        <v>1.7</v>
      </c>
      <c r="I92">
        <v>1.7</v>
      </c>
      <c r="J92" t="s">
        <v>14</v>
      </c>
    </row>
    <row r="93" spans="1:10" x14ac:dyDescent="0.25">
      <c r="A93">
        <v>21882</v>
      </c>
      <c r="B93">
        <v>5.0087000000000002</v>
      </c>
      <c r="C93">
        <v>5.0092999999999996</v>
      </c>
      <c r="D93" s="13">
        <v>46160.544745370367</v>
      </c>
      <c r="E93" t="s">
        <v>21</v>
      </c>
      <c r="F93">
        <v>-0.06</v>
      </c>
      <c r="G93">
        <v>-0.06</v>
      </c>
      <c r="H93">
        <v>-1.1100000000000001</v>
      </c>
      <c r="I93">
        <v>-1.1100000000000001</v>
      </c>
      <c r="J93" t="s">
        <v>14</v>
      </c>
    </row>
    <row r="94" spans="1:10" x14ac:dyDescent="0.25">
      <c r="D94" s="6"/>
    </row>
    <row r="95" spans="1:10" x14ac:dyDescent="0.25">
      <c r="D95" s="6"/>
    </row>
    <row r="96" spans="1:10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  <row r="128" spans="4:4" x14ac:dyDescent="0.25">
      <c r="D128" s="6"/>
    </row>
    <row r="129" spans="4:4" x14ac:dyDescent="0.25">
      <c r="D129" s="6"/>
    </row>
    <row r="130" spans="4:4" x14ac:dyDescent="0.25">
      <c r="D130" s="6"/>
    </row>
    <row r="131" spans="4:4" x14ac:dyDescent="0.25">
      <c r="D131" s="6"/>
    </row>
    <row r="132" spans="4:4" x14ac:dyDescent="0.25">
      <c r="D132" s="6"/>
    </row>
    <row r="133" spans="4:4" x14ac:dyDescent="0.25">
      <c r="D133" s="6"/>
    </row>
    <row r="134" spans="4:4" x14ac:dyDescent="0.25">
      <c r="D134" s="6"/>
    </row>
    <row r="135" spans="4:4" x14ac:dyDescent="0.25">
      <c r="D135" s="6"/>
    </row>
    <row r="136" spans="4:4" x14ac:dyDescent="0.25">
      <c r="D136" s="6"/>
    </row>
    <row r="137" spans="4:4" x14ac:dyDescent="0.25">
      <c r="D137" s="6"/>
    </row>
    <row r="138" spans="4:4" x14ac:dyDescent="0.25">
      <c r="D138" s="6"/>
    </row>
    <row r="139" spans="4:4" x14ac:dyDescent="0.25">
      <c r="D139" s="6"/>
    </row>
    <row r="140" spans="4:4" x14ac:dyDescent="0.25">
      <c r="D140" s="6"/>
    </row>
    <row r="141" spans="4:4" x14ac:dyDescent="0.25">
      <c r="D141" s="6"/>
    </row>
    <row r="142" spans="4:4" x14ac:dyDescent="0.25">
      <c r="D142" s="6"/>
    </row>
    <row r="143" spans="4:4" x14ac:dyDescent="0.25">
      <c r="D143" s="6"/>
    </row>
    <row r="144" spans="4:4" x14ac:dyDescent="0.25">
      <c r="D144" s="6"/>
    </row>
    <row r="145" spans="4:4" x14ac:dyDescent="0.25">
      <c r="D145" s="6"/>
    </row>
    <row r="146" spans="4:4" x14ac:dyDescent="0.25">
      <c r="D146" s="6"/>
    </row>
    <row r="147" spans="4:4" x14ac:dyDescent="0.25">
      <c r="D147" s="6"/>
    </row>
    <row r="148" spans="4:4" x14ac:dyDescent="0.25">
      <c r="D148" s="6"/>
    </row>
    <row r="149" spans="4:4" x14ac:dyDescent="0.25">
      <c r="D149" s="6"/>
    </row>
    <row r="150" spans="4:4" x14ac:dyDescent="0.25">
      <c r="D150" s="6"/>
    </row>
    <row r="151" spans="4:4" x14ac:dyDescent="0.25">
      <c r="D151" s="6"/>
    </row>
    <row r="152" spans="4:4" x14ac:dyDescent="0.25">
      <c r="D152" s="6"/>
    </row>
    <row r="153" spans="4:4" x14ac:dyDescent="0.25">
      <c r="D153" s="6"/>
    </row>
    <row r="154" spans="4:4" x14ac:dyDescent="0.25">
      <c r="D154" s="6"/>
    </row>
    <row r="155" spans="4:4" x14ac:dyDescent="0.25">
      <c r="D155" s="6"/>
    </row>
    <row r="156" spans="4:4" x14ac:dyDescent="0.25">
      <c r="D156" s="6"/>
    </row>
    <row r="157" spans="4:4" x14ac:dyDescent="0.25">
      <c r="D157" s="6"/>
    </row>
    <row r="158" spans="4:4" x14ac:dyDescent="0.25">
      <c r="D158" s="6"/>
    </row>
    <row r="159" spans="4:4" x14ac:dyDescent="0.25">
      <c r="D159" s="6"/>
    </row>
    <row r="160" spans="4:4" x14ac:dyDescent="0.25">
      <c r="D160" s="6"/>
    </row>
    <row r="161" spans="4:4" x14ac:dyDescent="0.25">
      <c r="D161" s="6"/>
    </row>
    <row r="162" spans="4:4" x14ac:dyDescent="0.25">
      <c r="D162" s="6"/>
    </row>
    <row r="163" spans="4:4" x14ac:dyDescent="0.25">
      <c r="D163" s="6"/>
    </row>
    <row r="164" spans="4:4" x14ac:dyDescent="0.25">
      <c r="D164" s="6"/>
    </row>
    <row r="165" spans="4:4" x14ac:dyDescent="0.25">
      <c r="D165" s="6"/>
    </row>
    <row r="166" spans="4:4" x14ac:dyDescent="0.25">
      <c r="D166" s="6"/>
    </row>
    <row r="167" spans="4:4" x14ac:dyDescent="0.25">
      <c r="D167" s="6"/>
    </row>
    <row r="168" spans="4:4" x14ac:dyDescent="0.25">
      <c r="D168" s="6"/>
    </row>
    <row r="169" spans="4:4" x14ac:dyDescent="0.25">
      <c r="D169" s="6"/>
    </row>
    <row r="170" spans="4:4" x14ac:dyDescent="0.25">
      <c r="D170" s="6"/>
    </row>
    <row r="171" spans="4:4" x14ac:dyDescent="0.25">
      <c r="D171" s="6"/>
    </row>
    <row r="172" spans="4:4" x14ac:dyDescent="0.25">
      <c r="D172" s="6"/>
    </row>
    <row r="173" spans="4:4" x14ac:dyDescent="0.25">
      <c r="D173" s="6"/>
    </row>
    <row r="174" spans="4:4" x14ac:dyDescent="0.25">
      <c r="D174" s="6"/>
    </row>
    <row r="175" spans="4:4" x14ac:dyDescent="0.25">
      <c r="D175" s="6"/>
    </row>
    <row r="176" spans="4:4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2:B36"/>
  <sheetViews>
    <sheetView workbookViewId="0"/>
  </sheetViews>
  <sheetFormatPr defaultRowHeight="15" x14ac:dyDescent="0.25"/>
  <cols>
    <col min="1" max="1" width="13.42578125" bestFit="1" customWidth="1"/>
    <col min="2" max="2" width="20.5703125" bestFit="1" customWidth="1"/>
  </cols>
  <sheetData>
    <row r="2" spans="1:2" x14ac:dyDescent="0.25">
      <c r="A2" s="10" t="s">
        <v>16</v>
      </c>
      <c r="B2" t="s">
        <v>22</v>
      </c>
    </row>
    <row r="3" spans="1:2" x14ac:dyDescent="0.25">
      <c r="A3" s="11" t="s">
        <v>17</v>
      </c>
      <c r="B3" s="12">
        <v>5.4371999999999998</v>
      </c>
    </row>
    <row r="4" spans="1:2" x14ac:dyDescent="0.25">
      <c r="A4" s="11" t="s">
        <v>18</v>
      </c>
      <c r="B4" s="12">
        <v>5.2587000000000002</v>
      </c>
    </row>
    <row r="5" spans="1:2" x14ac:dyDescent="0.25">
      <c r="A5" s="11" t="s">
        <v>19</v>
      </c>
      <c r="B5" s="12">
        <v>5.2877999999999998</v>
      </c>
    </row>
    <row r="6" spans="1:2" x14ac:dyDescent="0.25">
      <c r="A6" s="11" t="s">
        <v>20</v>
      </c>
      <c r="B6" s="12">
        <v>5.1654999999999998</v>
      </c>
    </row>
    <row r="7" spans="1:2" x14ac:dyDescent="0.25">
      <c r="A7" s="11" t="s">
        <v>21</v>
      </c>
      <c r="B7" s="12">
        <v>5.0654000000000003</v>
      </c>
    </row>
    <row r="8" spans="1:2" x14ac:dyDescent="0.25">
      <c r="A8" s="11" t="s">
        <v>15</v>
      </c>
      <c r="B8" s="12">
        <v>5.4371999999999998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5.1837999999999997</v>
      </c>
    </row>
    <row r="32" spans="1:2" x14ac:dyDescent="0.25">
      <c r="A32" s="11" t="s">
        <v>18</v>
      </c>
      <c r="B32" s="12">
        <v>5.1382000000000003</v>
      </c>
    </row>
    <row r="33" spans="1:2" x14ac:dyDescent="0.25">
      <c r="A33" s="11" t="s">
        <v>19</v>
      </c>
      <c r="B33" s="12">
        <v>5.1596000000000002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15</v>
      </c>
      <c r="B36" s="12">
        <v>4.8973000000000004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26"/>
  <sheetViews>
    <sheetView workbookViewId="0">
      <selection activeCell="H20" sqref="H19:H20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27</v>
      </c>
      <c r="C2" t="s">
        <v>29</v>
      </c>
      <c r="D2" t="s">
        <v>30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4.944509090909091</v>
      </c>
      <c r="C7" s="12">
        <v>4.8973000000000004</v>
      </c>
      <c r="D7" s="12">
        <v>5.0654000000000003</v>
      </c>
    </row>
    <row r="8" spans="1:4" x14ac:dyDescent="0.25">
      <c r="A8" s="11" t="s">
        <v>33</v>
      </c>
      <c r="B8" s="12">
        <v>4</v>
      </c>
      <c r="C8" s="12">
        <v>4</v>
      </c>
      <c r="D8" s="12">
        <v>4</v>
      </c>
    </row>
    <row r="9" spans="1:4" x14ac:dyDescent="0.25">
      <c r="A9" s="11" t="s">
        <v>15</v>
      </c>
      <c r="B9" s="12">
        <v>5.1597376344086028</v>
      </c>
      <c r="C9" s="12">
        <v>4</v>
      </c>
      <c r="D9" s="12">
        <v>5.4371999999999998</v>
      </c>
    </row>
    <row r="20" spans="1:4" x14ac:dyDescent="0.25">
      <c r="A20" s="10" t="s">
        <v>16</v>
      </c>
      <c r="B20" t="s">
        <v>28</v>
      </c>
      <c r="C20" t="s">
        <v>31</v>
      </c>
      <c r="D20" t="s">
        <v>32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5.792809090909091</v>
      </c>
      <c r="C25" s="12">
        <v>5.7465000000000002</v>
      </c>
      <c r="D25" s="12">
        <v>5.89</v>
      </c>
    </row>
    <row r="26" spans="1:4" x14ac:dyDescent="0.25">
      <c r="A26" s="11" t="s">
        <v>15</v>
      </c>
      <c r="B26" s="12">
        <v>6.0514989130434769</v>
      </c>
      <c r="C26" s="12">
        <v>5.7465000000000002</v>
      </c>
      <c r="D26" s="12">
        <v>6.3898000000000001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D2E62-3D4D-45CB-A4AE-0C78158207C6}">
  <sheetPr codeName="Sheet4"/>
  <dimension ref="A3:B30"/>
  <sheetViews>
    <sheetView workbookViewId="0">
      <selection activeCell="U20" sqref="U20"/>
    </sheetView>
  </sheetViews>
  <sheetFormatPr defaultRowHeight="15" x14ac:dyDescent="0.25"/>
  <cols>
    <col min="1" max="1" width="13.42578125" bestFit="1" customWidth="1"/>
    <col min="2" max="2" width="20.5703125" bestFit="1" customWidth="1"/>
    <col min="3" max="6" width="7" bestFit="1" customWidth="1"/>
    <col min="7" max="7" width="11.28515625" bestFit="1" customWidth="1"/>
  </cols>
  <sheetData>
    <row r="3" spans="1:2" x14ac:dyDescent="0.25">
      <c r="A3" s="10" t="s">
        <v>16</v>
      </c>
      <c r="B3" t="s">
        <v>22</v>
      </c>
    </row>
    <row r="4" spans="1:2" x14ac:dyDescent="0.25">
      <c r="A4" s="11" t="s">
        <v>17</v>
      </c>
      <c r="B4" s="12">
        <v>6.3898000000000001</v>
      </c>
    </row>
    <row r="5" spans="1:2" x14ac:dyDescent="0.25">
      <c r="A5" s="11" t="s">
        <v>18</v>
      </c>
      <c r="B5" s="12">
        <v>6.2016</v>
      </c>
    </row>
    <row r="6" spans="1:2" x14ac:dyDescent="0.25">
      <c r="A6" s="11" t="s">
        <v>19</v>
      </c>
      <c r="B6" s="12">
        <v>6.1238000000000001</v>
      </c>
    </row>
    <row r="7" spans="1:2" x14ac:dyDescent="0.25">
      <c r="A7" s="11" t="s">
        <v>20</v>
      </c>
      <c r="B7" s="12">
        <v>5.9935</v>
      </c>
    </row>
    <row r="8" spans="1:2" x14ac:dyDescent="0.25">
      <c r="A8" s="11" t="s">
        <v>21</v>
      </c>
      <c r="B8" s="12">
        <v>5.89</v>
      </c>
    </row>
    <row r="9" spans="1:2" x14ac:dyDescent="0.25">
      <c r="A9" s="11" t="s">
        <v>15</v>
      </c>
      <c r="B9" s="12">
        <v>6.3898000000000001</v>
      </c>
    </row>
    <row r="24" spans="1:2" x14ac:dyDescent="0.25">
      <c r="A24" s="10" t="s">
        <v>16</v>
      </c>
      <c r="B24" t="s">
        <v>23</v>
      </c>
    </row>
    <row r="25" spans="1:2" x14ac:dyDescent="0.25">
      <c r="A25" s="11" t="s">
        <v>17</v>
      </c>
      <c r="B25" s="12">
        <v>6.1925999999999997</v>
      </c>
    </row>
    <row r="26" spans="1:2" x14ac:dyDescent="0.25">
      <c r="A26" s="11" t="s">
        <v>18</v>
      </c>
      <c r="B26" s="12">
        <v>6.0631000000000004</v>
      </c>
    </row>
    <row r="27" spans="1:2" x14ac:dyDescent="0.25">
      <c r="A27" s="11" t="s">
        <v>19</v>
      </c>
      <c r="B27" s="12">
        <v>5.9680999999999997</v>
      </c>
    </row>
    <row r="28" spans="1:2" x14ac:dyDescent="0.25">
      <c r="A28" s="11" t="s">
        <v>20</v>
      </c>
      <c r="B28" s="12">
        <v>5.7984999999999998</v>
      </c>
    </row>
    <row r="29" spans="1:2" x14ac:dyDescent="0.25">
      <c r="A29" s="11" t="s">
        <v>21</v>
      </c>
      <c r="B29" s="12">
        <v>5.7465000000000002</v>
      </c>
    </row>
    <row r="30" spans="1:2" x14ac:dyDescent="0.25">
      <c r="A30" s="11" t="s">
        <v>15</v>
      </c>
      <c r="B30" s="12">
        <v>5.7465000000000002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Main_Macros</vt:lpstr>
      <vt:lpstr>Euro</vt:lpstr>
      <vt:lpstr>Dolar</vt:lpstr>
      <vt:lpstr>Currency_Graphs</vt:lpstr>
      <vt:lpstr>Pivot_tables</vt:lpstr>
      <vt:lpstr>Graphs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2026-05-19T02:18:20Z</dcterms:modified>
</cp:coreProperties>
</file>